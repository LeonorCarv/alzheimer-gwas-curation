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202300"/>
  <mc:AlternateContent xmlns:mc="http://schemas.openxmlformats.org/markup-compatibility/2006">
    <mc:Choice Requires="x15">
      <x15ac:absPath xmlns:x15ac="http://schemas.microsoft.com/office/spreadsheetml/2010/11/ac" url="C:\Users\Leonor Carvalho\Desktop\"/>
    </mc:Choice>
  </mc:AlternateContent>
  <xr:revisionPtr revIDLastSave="0" documentId="13_ncr:1_{8F9632D7-B772-4286-B72E-3A95E67FA212}" xr6:coauthVersionLast="47" xr6:coauthVersionMax="47" xr10:uidLastSave="{00000000-0000-0000-0000-000000000000}"/>
  <bookViews>
    <workbookView xWindow="-120" yWindow="-120" windowWidth="29040" windowHeight="15720" tabRatio="711" xr2:uid="{2398398D-CD5C-4048-85F3-4F69300D4811}"/>
  </bookViews>
  <sheets>
    <sheet name="GWAS overview" sheetId="7" r:id="rId1"/>
    <sheet name="Databases characterisation" sheetId="1" r:id="rId2"/>
    <sheet name="Study-dataset map" sheetId="4" r:id="rId3"/>
    <sheet name="NIAGADS datasets" sheetId="6" r:id="rId4"/>
    <sheet name="Study-sampleset map" sheetId="5" r:id="rId5"/>
    <sheet name="NIAGADS sample set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8" i="3" l="1"/>
  <c r="BM9" i="3"/>
  <c r="BM11" i="3"/>
  <c r="BM13" i="3"/>
  <c r="BM15" i="3"/>
  <c r="BM16" i="3"/>
  <c r="BM19" i="3"/>
  <c r="BM22" i="3"/>
  <c r="BM27" i="3"/>
  <c r="BM29" i="3"/>
  <c r="BM31" i="3"/>
  <c r="BM36" i="3"/>
  <c r="BM37" i="3"/>
  <c r="BM38" i="3"/>
  <c r="BM39" i="3"/>
  <c r="BM42" i="3"/>
  <c r="BM43" i="3"/>
  <c r="BM46" i="3"/>
  <c r="BM47" i="3"/>
  <c r="BM48" i="3"/>
  <c r="BM49" i="3"/>
  <c r="BM50" i="3"/>
  <c r="BM51" i="3"/>
  <c r="BM53" i="3"/>
  <c r="BM54" i="3"/>
  <c r="BM56" i="3"/>
  <c r="BM58" i="3"/>
  <c r="BM59" i="3"/>
  <c r="BM61" i="3"/>
  <c r="BM62" i="3"/>
  <c r="BM63" i="3"/>
  <c r="BM65" i="3"/>
  <c r="BM66" i="3"/>
  <c r="BM67" i="3"/>
  <c r="BM68" i="3"/>
  <c r="BM69" i="3"/>
  <c r="BM72" i="3"/>
  <c r="BM74" i="3"/>
  <c r="BL8" i="3"/>
  <c r="BL9" i="3"/>
  <c r="BL10" i="3"/>
  <c r="BL11" i="3"/>
  <c r="BL12" i="3"/>
  <c r="BL13" i="3"/>
  <c r="BL14" i="3"/>
  <c r="BL15" i="3"/>
  <c r="BL16" i="3"/>
  <c r="BL19" i="3"/>
  <c r="BL20" i="3"/>
  <c r="BL21" i="3"/>
  <c r="BL25" i="3"/>
  <c r="BL26" i="3"/>
  <c r="BL27" i="3"/>
  <c r="BL28" i="3"/>
  <c r="BL29" i="3"/>
  <c r="BL31" i="3"/>
  <c r="BL32" i="3"/>
  <c r="BL35" i="3"/>
  <c r="BL36" i="3"/>
  <c r="BL37" i="3"/>
  <c r="BL39" i="3"/>
  <c r="BL41" i="3"/>
  <c r="BL42" i="3"/>
  <c r="BL43" i="3"/>
  <c r="BL46" i="3"/>
  <c r="BL47" i="3"/>
  <c r="BL48" i="3"/>
  <c r="BL49" i="3"/>
  <c r="BL50" i="3"/>
  <c r="BL51" i="3"/>
  <c r="BL52" i="3"/>
  <c r="BL53" i="3"/>
  <c r="BL54" i="3"/>
  <c r="BL55" i="3"/>
  <c r="BL56" i="3"/>
  <c r="BL57" i="3"/>
  <c r="BL58" i="3"/>
  <c r="BL59" i="3"/>
  <c r="BL60" i="3"/>
  <c r="BL61" i="3"/>
  <c r="BL62" i="3"/>
  <c r="BL63" i="3"/>
  <c r="BL64" i="3"/>
  <c r="BL65" i="3"/>
  <c r="BL66" i="3"/>
  <c r="BL67" i="3"/>
  <c r="BL68" i="3"/>
  <c r="BL69" i="3"/>
  <c r="BL70" i="3"/>
  <c r="BL71" i="3"/>
  <c r="BL72" i="3"/>
  <c r="BL73" i="3"/>
  <c r="BL74" i="3"/>
  <c r="BL75" i="3"/>
  <c r="BK8" i="3"/>
  <c r="BK9" i="3"/>
  <c r="BK10" i="3"/>
  <c r="BK11" i="3"/>
  <c r="BK12" i="3"/>
  <c r="BK13" i="3"/>
  <c r="BK14" i="3"/>
  <c r="BK15" i="3"/>
  <c r="BK16" i="3"/>
  <c r="BK19" i="3"/>
  <c r="BK20" i="3"/>
  <c r="BK21" i="3"/>
  <c r="BK22" i="3"/>
  <c r="BK25" i="3"/>
  <c r="BK26" i="3"/>
  <c r="BK27" i="3"/>
  <c r="BK28" i="3"/>
  <c r="BK29" i="3"/>
  <c r="BK31" i="3"/>
  <c r="BK32" i="3"/>
  <c r="BK35" i="3"/>
  <c r="BK36" i="3"/>
  <c r="BK37" i="3"/>
  <c r="BK38" i="3"/>
  <c r="BK39" i="3"/>
  <c r="BK41" i="3"/>
  <c r="BK42" i="3"/>
  <c r="BK43" i="3"/>
  <c r="BK46" i="3"/>
  <c r="BK47" i="3"/>
  <c r="BK48" i="3"/>
  <c r="BK49" i="3"/>
  <c r="BK50" i="3"/>
  <c r="BK51" i="3"/>
  <c r="BK52" i="3"/>
  <c r="BK53" i="3"/>
  <c r="BK54" i="3"/>
  <c r="BK55" i="3"/>
  <c r="BK56" i="3"/>
  <c r="BK57" i="3"/>
  <c r="BK58" i="3"/>
  <c r="BK59" i="3"/>
  <c r="BK60" i="3"/>
  <c r="BK61" i="3"/>
  <c r="BK62" i="3"/>
  <c r="BK63" i="3"/>
  <c r="BK64" i="3"/>
  <c r="BK65" i="3"/>
  <c r="BK66" i="3"/>
  <c r="BK67" i="3"/>
  <c r="BK68" i="3"/>
  <c r="BK69" i="3"/>
  <c r="BK70" i="3"/>
  <c r="BK71" i="3"/>
  <c r="BK72" i="3"/>
  <c r="BK73" i="3"/>
  <c r="BK74" i="3"/>
  <c r="BK75" i="3"/>
  <c r="BJ8" i="3"/>
  <c r="BJ9" i="3"/>
  <c r="BJ10" i="3"/>
  <c r="BJ11" i="3"/>
  <c r="BJ12" i="3"/>
  <c r="BJ13" i="3"/>
  <c r="BJ14" i="3"/>
  <c r="BJ15" i="3"/>
  <c r="BJ16" i="3"/>
  <c r="BJ19" i="3"/>
  <c r="BJ20" i="3"/>
  <c r="BJ25" i="3"/>
  <c r="BJ27" i="3"/>
  <c r="BJ28" i="3"/>
  <c r="BJ29" i="3"/>
  <c r="BJ31" i="3"/>
  <c r="BJ32" i="3"/>
  <c r="BJ35" i="3"/>
  <c r="BJ36" i="3"/>
  <c r="BJ37" i="3"/>
  <c r="BJ38" i="3"/>
  <c r="BJ39" i="3"/>
  <c r="BJ41" i="3"/>
  <c r="BJ42" i="3"/>
  <c r="BJ43" i="3"/>
  <c r="BJ46" i="3"/>
  <c r="BJ47" i="3"/>
  <c r="BJ48" i="3"/>
  <c r="BJ49" i="3"/>
  <c r="BJ50" i="3"/>
  <c r="BJ51" i="3"/>
  <c r="BJ52" i="3"/>
  <c r="BJ53" i="3"/>
  <c r="BJ54" i="3"/>
  <c r="BJ55" i="3"/>
  <c r="BJ56" i="3"/>
  <c r="BJ57" i="3"/>
  <c r="BJ58" i="3"/>
  <c r="BJ59" i="3"/>
  <c r="BJ60" i="3"/>
  <c r="BJ61" i="3"/>
  <c r="BJ62" i="3"/>
  <c r="BJ63" i="3"/>
  <c r="BJ64" i="3"/>
  <c r="BJ65" i="3"/>
  <c r="BJ66" i="3"/>
  <c r="BJ67" i="3"/>
  <c r="BJ68" i="3"/>
  <c r="BJ69" i="3"/>
  <c r="BJ71" i="3"/>
  <c r="BJ72" i="3"/>
  <c r="BJ73" i="3"/>
  <c r="BJ74" i="3"/>
  <c r="BJ75" i="3"/>
  <c r="BI8" i="3"/>
  <c r="BI9" i="3"/>
  <c r="BI10" i="3"/>
  <c r="BI11" i="3"/>
  <c r="BI12" i="3"/>
  <c r="BI13" i="3"/>
  <c r="BI14" i="3"/>
  <c r="BI15" i="3"/>
  <c r="BI16" i="3"/>
  <c r="BI19" i="3"/>
  <c r="BI27" i="3"/>
  <c r="BI28" i="3"/>
  <c r="BI29" i="3"/>
  <c r="BI31" i="3"/>
  <c r="BI32" i="3"/>
  <c r="BI35" i="3"/>
  <c r="BI36" i="3"/>
  <c r="BI37" i="3"/>
  <c r="BI39" i="3"/>
  <c r="BI41" i="3"/>
  <c r="BI42" i="3"/>
  <c r="BI43" i="3"/>
  <c r="BI46" i="3"/>
  <c r="BI47" i="3"/>
  <c r="BI48" i="3"/>
  <c r="BI49" i="3"/>
  <c r="BI50" i="3"/>
  <c r="BI51" i="3"/>
  <c r="BI52" i="3"/>
  <c r="BI53" i="3"/>
  <c r="BI54" i="3"/>
  <c r="BI55" i="3"/>
  <c r="BI56" i="3"/>
  <c r="BI57" i="3"/>
  <c r="BI58" i="3"/>
  <c r="BI59" i="3"/>
  <c r="BI60" i="3"/>
  <c r="BI61" i="3"/>
  <c r="BI62" i="3"/>
  <c r="BI63" i="3"/>
  <c r="BI64" i="3"/>
  <c r="BI65" i="3"/>
  <c r="BI66" i="3"/>
  <c r="BI67" i="3"/>
  <c r="BI68" i="3"/>
  <c r="BI69" i="3"/>
  <c r="BI71" i="3"/>
  <c r="BI72" i="3"/>
  <c r="BI73" i="3"/>
  <c r="BI74" i="3"/>
  <c r="BI75" i="3"/>
  <c r="BH8" i="3"/>
  <c r="BH9" i="3"/>
  <c r="BH10" i="3"/>
  <c r="BH11" i="3"/>
  <c r="BH12" i="3"/>
  <c r="BH13" i="3"/>
  <c r="BH14" i="3"/>
  <c r="BH15" i="3"/>
  <c r="BH16" i="3"/>
  <c r="BH19" i="3"/>
  <c r="BH22" i="3"/>
  <c r="BH25" i="3"/>
  <c r="BH26" i="3"/>
  <c r="BH27" i="3"/>
  <c r="BH28" i="3"/>
  <c r="BH29" i="3"/>
  <c r="BH31" i="3"/>
  <c r="BH32" i="3"/>
  <c r="BH35" i="3"/>
  <c r="BH36" i="3"/>
  <c r="BH37" i="3"/>
  <c r="BH38" i="3"/>
  <c r="BH39" i="3"/>
  <c r="BH41" i="3"/>
  <c r="BH42" i="3"/>
  <c r="BH43" i="3"/>
  <c r="BH46" i="3"/>
  <c r="BH47" i="3"/>
  <c r="BH48" i="3"/>
  <c r="BH49" i="3"/>
  <c r="BH50" i="3"/>
  <c r="BH51" i="3"/>
  <c r="BH52" i="3"/>
  <c r="BH53" i="3"/>
  <c r="BH54" i="3"/>
  <c r="BH55" i="3"/>
  <c r="BH56" i="3"/>
  <c r="BH57" i="3"/>
  <c r="BH58" i="3"/>
  <c r="BH59" i="3"/>
  <c r="BH60" i="3"/>
  <c r="BH61" i="3"/>
  <c r="BH62" i="3"/>
  <c r="BH63" i="3"/>
  <c r="BH64" i="3"/>
  <c r="BH65" i="3"/>
  <c r="BH66" i="3"/>
  <c r="BH67" i="3"/>
  <c r="BH68" i="3"/>
  <c r="BH69" i="3"/>
  <c r="BH71" i="3"/>
  <c r="BH72" i="3"/>
  <c r="BH73" i="3"/>
  <c r="BH74" i="3"/>
  <c r="BH75" i="3"/>
  <c r="BG8" i="3"/>
  <c r="BG9" i="3"/>
  <c r="BG10" i="3"/>
  <c r="BG11" i="3"/>
  <c r="BG12" i="3"/>
  <c r="BG15" i="3"/>
  <c r="BG16" i="3"/>
  <c r="BG19" i="3"/>
  <c r="BG27" i="3"/>
  <c r="BG35" i="3"/>
  <c r="BG36" i="3"/>
  <c r="BG37" i="3"/>
  <c r="BG39" i="3"/>
  <c r="BG41" i="3"/>
  <c r="BG42" i="3"/>
  <c r="BG43" i="3"/>
  <c r="BG46" i="3"/>
  <c r="BG47" i="3"/>
  <c r="BG49" i="3"/>
  <c r="BG50" i="3"/>
  <c r="BG51" i="3"/>
  <c r="BG52" i="3"/>
  <c r="BG53" i="3"/>
  <c r="BG54" i="3"/>
  <c r="BG55" i="3"/>
  <c r="BG56" i="3"/>
  <c r="BG57" i="3"/>
  <c r="BG58" i="3"/>
  <c r="BG59" i="3"/>
  <c r="BG60" i="3"/>
  <c r="BG61" i="3"/>
  <c r="BG64" i="3"/>
  <c r="BG65" i="3"/>
  <c r="BG66" i="3"/>
  <c r="BG67" i="3"/>
  <c r="BG68" i="3"/>
  <c r="BG71" i="3"/>
  <c r="BG73" i="3"/>
  <c r="BG74" i="3"/>
  <c r="AT8" i="3"/>
  <c r="AS8" i="3"/>
  <c r="AR8" i="3"/>
  <c r="J89" i="3"/>
  <c r="I89" i="3"/>
  <c r="H89" i="3"/>
  <c r="G89" i="3"/>
  <c r="F89" i="3"/>
  <c r="E89" i="3"/>
  <c r="D89" i="3"/>
  <c r="AT9" i="3"/>
  <c r="AT10" i="3"/>
  <c r="AT11" i="3"/>
  <c r="AT13" i="3"/>
  <c r="AT14" i="3"/>
  <c r="AT16" i="3"/>
  <c r="AT19" i="3"/>
  <c r="AT22" i="3"/>
  <c r="AT26" i="3"/>
  <c r="AT27" i="3"/>
  <c r="AT32" i="3"/>
  <c r="AT36" i="3"/>
  <c r="AT37" i="3"/>
  <c r="AT39" i="3"/>
  <c r="AT43" i="3"/>
  <c r="AT46" i="3"/>
  <c r="AT47" i="3"/>
  <c r="AT48" i="3"/>
  <c r="AT49" i="3"/>
  <c r="AT50" i="3"/>
  <c r="AT51" i="3"/>
  <c r="AT52" i="3"/>
  <c r="AT55" i="3"/>
  <c r="AT56" i="3"/>
  <c r="AT57" i="3"/>
  <c r="AT58" i="3"/>
  <c r="AT59" i="3"/>
  <c r="AT60" i="3"/>
  <c r="AT61" i="3"/>
  <c r="AT63" i="3"/>
  <c r="AT66" i="3"/>
  <c r="AT67" i="3"/>
  <c r="AT68" i="3"/>
  <c r="AT69" i="3"/>
  <c r="AT70" i="3"/>
  <c r="AT71" i="3"/>
  <c r="AT72" i="3"/>
  <c r="AS9" i="3"/>
  <c r="AS10" i="3"/>
  <c r="AS11" i="3"/>
  <c r="AS12" i="3"/>
  <c r="AS13" i="3"/>
  <c r="AS14" i="3"/>
  <c r="AS15" i="3"/>
  <c r="AS16" i="3"/>
  <c r="AS19" i="3"/>
  <c r="AS20" i="3"/>
  <c r="AS21" i="3"/>
  <c r="AS22" i="3"/>
  <c r="AS25" i="3"/>
  <c r="AS26" i="3"/>
  <c r="AS27" i="3"/>
  <c r="AS30" i="3"/>
  <c r="AS32" i="3"/>
  <c r="AS36" i="3"/>
  <c r="AS37" i="3"/>
  <c r="AS38" i="3"/>
  <c r="AS39" i="3"/>
  <c r="AS43" i="3"/>
  <c r="AS44" i="3"/>
  <c r="AS46" i="3"/>
  <c r="AS47" i="3"/>
  <c r="AS48" i="3"/>
  <c r="AS49" i="3"/>
  <c r="AS50" i="3"/>
  <c r="AS51" i="3"/>
  <c r="AS52" i="3"/>
  <c r="AS53" i="3"/>
  <c r="AS54" i="3"/>
  <c r="AS55" i="3"/>
  <c r="AS56" i="3"/>
  <c r="AS57" i="3"/>
  <c r="AS58" i="3"/>
  <c r="AS59" i="3"/>
  <c r="AS60" i="3"/>
  <c r="AS61" i="3"/>
  <c r="AS63" i="3"/>
  <c r="AS64" i="3"/>
  <c r="AS65" i="3"/>
  <c r="AS66" i="3"/>
  <c r="AS67" i="3"/>
  <c r="AS68" i="3"/>
  <c r="AS69" i="3"/>
  <c r="AS70" i="3"/>
  <c r="AS71" i="3"/>
  <c r="AS72" i="3"/>
  <c r="AS73" i="3"/>
  <c r="AR10" i="3"/>
  <c r="AR11" i="3"/>
  <c r="AR12" i="3"/>
  <c r="AR13" i="3"/>
  <c r="AR15" i="3"/>
  <c r="AR16" i="3"/>
  <c r="AR19" i="3"/>
  <c r="AR25" i="3"/>
  <c r="AR26" i="3"/>
  <c r="AR27" i="3"/>
  <c r="AR32" i="3"/>
  <c r="AR35" i="3"/>
  <c r="AR36" i="3"/>
  <c r="AR37" i="3"/>
  <c r="AR38" i="3"/>
  <c r="AR39" i="3"/>
  <c r="AR44" i="3"/>
  <c r="AR46" i="3"/>
  <c r="AR48" i="3"/>
  <c r="AR49" i="3"/>
  <c r="AR53" i="3"/>
  <c r="AR54" i="3"/>
  <c r="AR55" i="3"/>
  <c r="AR56" i="3"/>
  <c r="AR57" i="3"/>
  <c r="AR58" i="3"/>
  <c r="AR59" i="3"/>
  <c r="AR60" i="3"/>
  <c r="AR61" i="3"/>
  <c r="AR64" i="3"/>
  <c r="AR65" i="3"/>
  <c r="AR66" i="3"/>
  <c r="AR67" i="3"/>
  <c r="AR69" i="3"/>
  <c r="AR70" i="3"/>
  <c r="AR71" i="3"/>
  <c r="AR72" i="3"/>
  <c r="AR73" i="3"/>
  <c r="AR9" i="3"/>
  <c r="J305" i="7"/>
  <c r="K305" i="7"/>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2" i="3"/>
  <c r="AE43" i="3"/>
  <c r="AE44" i="3"/>
  <c r="AE46" i="3"/>
  <c r="AE47"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5" i="3"/>
  <c r="AE77" i="3"/>
  <c r="AE78"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2" i="3"/>
  <c r="AD43" i="3"/>
  <c r="AD44" i="3"/>
  <c r="AD46" i="3"/>
  <c r="AD47"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5" i="3"/>
  <c r="AD77" i="3"/>
  <c r="AD78" i="3"/>
  <c r="N53" i="7"/>
  <c r="K75" i="7"/>
  <c r="K21" i="7"/>
  <c r="N20" i="7"/>
  <c r="N14" i="7"/>
  <c r="U305" i="7"/>
  <c r="T305" i="7"/>
  <c r="S305" i="7"/>
  <c r="R305" i="7"/>
  <c r="Q305" i="7"/>
  <c r="P305" i="7"/>
  <c r="O305" i="7"/>
  <c r="N305" i="7"/>
  <c r="M305" i="7"/>
  <c r="L305" i="7"/>
  <c r="U303" i="7"/>
  <c r="T303" i="7"/>
  <c r="S303" i="7"/>
  <c r="R303" i="7"/>
  <c r="Q303" i="7"/>
  <c r="P303" i="7"/>
  <c r="O303" i="7"/>
  <c r="M303" i="7"/>
  <c r="L303" i="7"/>
  <c r="K303" i="7"/>
  <c r="J303" i="7"/>
  <c r="N302" i="7"/>
  <c r="N303" i="7" s="1"/>
  <c r="U293" i="7"/>
  <c r="S293" i="7"/>
  <c r="R293" i="7"/>
  <c r="Q293" i="7"/>
  <c r="P293" i="7"/>
  <c r="O293" i="7"/>
  <c r="M293" i="7"/>
  <c r="L293" i="7"/>
  <c r="K293" i="7"/>
  <c r="J293" i="7"/>
  <c r="T276" i="7"/>
  <c r="N276" i="7"/>
  <c r="T269" i="7"/>
  <c r="N269" i="7"/>
  <c r="U261" i="7"/>
  <c r="T261" i="7"/>
  <c r="S261" i="7"/>
  <c r="R261" i="7"/>
  <c r="Q261" i="7"/>
  <c r="P261" i="7"/>
  <c r="O261" i="7"/>
  <c r="N261" i="7"/>
  <c r="M261" i="7"/>
  <c r="L261" i="7"/>
  <c r="K261" i="7"/>
  <c r="J261" i="7"/>
  <c r="U245" i="7"/>
  <c r="T245" i="7"/>
  <c r="S245" i="7"/>
  <c r="R245" i="7"/>
  <c r="Q245" i="7"/>
  <c r="P245" i="7"/>
  <c r="O245" i="7"/>
  <c r="N245" i="7"/>
  <c r="M245" i="7"/>
  <c r="L245" i="7"/>
  <c r="K245" i="7"/>
  <c r="J245" i="7"/>
  <c r="U231" i="7"/>
  <c r="S231" i="7"/>
  <c r="R231" i="7"/>
  <c r="Q231" i="7"/>
  <c r="P231" i="7"/>
  <c r="O231" i="7"/>
  <c r="M231" i="7"/>
  <c r="L231" i="7"/>
  <c r="K231" i="7"/>
  <c r="J231" i="7"/>
  <c r="T213" i="7"/>
  <c r="N213" i="7"/>
  <c r="T206" i="7"/>
  <c r="N206" i="7"/>
  <c r="U188" i="7"/>
  <c r="T188" i="7"/>
  <c r="S188" i="7"/>
  <c r="R188" i="7"/>
  <c r="Q188" i="7"/>
  <c r="P188" i="7"/>
  <c r="O188" i="7"/>
  <c r="N188" i="7"/>
  <c r="M188" i="7"/>
  <c r="L188" i="7"/>
  <c r="K188" i="7"/>
  <c r="J188" i="7"/>
  <c r="U186" i="7"/>
  <c r="T186" i="7"/>
  <c r="S186" i="7"/>
  <c r="R186" i="7"/>
  <c r="Q186" i="7"/>
  <c r="P186" i="7"/>
  <c r="O186" i="7"/>
  <c r="N186" i="7"/>
  <c r="M186" i="7"/>
  <c r="L186" i="7"/>
  <c r="K186" i="7"/>
  <c r="J186" i="7"/>
  <c r="U181" i="7"/>
  <c r="T181" i="7"/>
  <c r="S181" i="7"/>
  <c r="R181" i="7"/>
  <c r="Q181" i="7"/>
  <c r="P181" i="7"/>
  <c r="O181" i="7"/>
  <c r="N181" i="7"/>
  <c r="M181" i="7"/>
  <c r="L181" i="7"/>
  <c r="K181" i="7"/>
  <c r="J181" i="7"/>
  <c r="U167" i="7"/>
  <c r="T167" i="7"/>
  <c r="S167" i="7"/>
  <c r="R167" i="7"/>
  <c r="Q167" i="7"/>
  <c r="P167" i="7"/>
  <c r="O167" i="7"/>
  <c r="N167" i="7"/>
  <c r="M167" i="7"/>
  <c r="L167" i="7"/>
  <c r="K167" i="7"/>
  <c r="J167" i="7"/>
  <c r="U165" i="7"/>
  <c r="S165" i="7"/>
  <c r="R165" i="7"/>
  <c r="Q165" i="7"/>
  <c r="P165" i="7"/>
  <c r="O165" i="7"/>
  <c r="M165" i="7"/>
  <c r="L165" i="7"/>
  <c r="K165" i="7"/>
  <c r="J165" i="7"/>
  <c r="T149" i="7"/>
  <c r="N149" i="7"/>
  <c r="T142" i="7"/>
  <c r="N142" i="7"/>
  <c r="U134" i="7"/>
  <c r="T134" i="7"/>
  <c r="S134" i="7"/>
  <c r="R134" i="7"/>
  <c r="Q134" i="7"/>
  <c r="P134" i="7"/>
  <c r="O134" i="7"/>
  <c r="N134" i="7"/>
  <c r="M134" i="7"/>
  <c r="L134" i="7"/>
  <c r="K134" i="7"/>
  <c r="J134" i="7"/>
  <c r="U130" i="7"/>
  <c r="T130" i="7"/>
  <c r="S130" i="7"/>
  <c r="R130" i="7"/>
  <c r="Q130" i="7"/>
  <c r="P130" i="7"/>
  <c r="O130" i="7"/>
  <c r="N130" i="7"/>
  <c r="M130" i="7"/>
  <c r="L130" i="7"/>
  <c r="K130" i="7"/>
  <c r="J130" i="7"/>
  <c r="T123" i="7"/>
  <c r="S123" i="7"/>
  <c r="R123" i="7"/>
  <c r="Q123" i="7"/>
  <c r="P123" i="7"/>
  <c r="O123" i="7"/>
  <c r="M123" i="7"/>
  <c r="L123" i="7"/>
  <c r="K123" i="7"/>
  <c r="J123" i="7"/>
  <c r="U122" i="7"/>
  <c r="U123" i="7" s="1"/>
  <c r="N122" i="7"/>
  <c r="N123" i="7" s="1"/>
  <c r="U121" i="7"/>
  <c r="S121" i="7"/>
  <c r="R121" i="7"/>
  <c r="Q121" i="7"/>
  <c r="P121" i="7"/>
  <c r="O121" i="7"/>
  <c r="M121" i="7"/>
  <c r="L121" i="7"/>
  <c r="K121" i="7"/>
  <c r="J121" i="7"/>
  <c r="T120" i="7"/>
  <c r="T121" i="7" s="1"/>
  <c r="N120" i="7"/>
  <c r="N121" i="7" s="1"/>
  <c r="U119" i="7"/>
  <c r="T119" i="7"/>
  <c r="S119" i="7"/>
  <c r="R119" i="7"/>
  <c r="Q119" i="7"/>
  <c r="P119" i="7"/>
  <c r="O119" i="7"/>
  <c r="N119" i="7"/>
  <c r="M119" i="7"/>
  <c r="L119" i="7"/>
  <c r="K119" i="7"/>
  <c r="J119" i="7"/>
  <c r="U117" i="7"/>
  <c r="T117" i="7"/>
  <c r="S117" i="7"/>
  <c r="R117" i="7"/>
  <c r="Q117" i="7"/>
  <c r="P117" i="7"/>
  <c r="O117" i="7"/>
  <c r="N117" i="7"/>
  <c r="M117" i="7"/>
  <c r="L117" i="7"/>
  <c r="K117" i="7"/>
  <c r="J117" i="7"/>
  <c r="U112" i="7"/>
  <c r="T112" i="7"/>
  <c r="S112" i="7"/>
  <c r="R112" i="7"/>
  <c r="Q112" i="7"/>
  <c r="P112" i="7"/>
  <c r="O112" i="7"/>
  <c r="N112" i="7"/>
  <c r="M112" i="7"/>
  <c r="L112" i="7"/>
  <c r="K112" i="7"/>
  <c r="J112" i="7"/>
  <c r="U109" i="7"/>
  <c r="S109" i="7"/>
  <c r="R109" i="7"/>
  <c r="Q109" i="7"/>
  <c r="O109" i="7"/>
  <c r="M109" i="7"/>
  <c r="L109" i="7"/>
  <c r="K109" i="7"/>
  <c r="P108" i="7"/>
  <c r="J108" i="7"/>
  <c r="P107" i="7"/>
  <c r="J107" i="7"/>
  <c r="P106" i="7"/>
  <c r="J106" i="7"/>
  <c r="P105" i="7"/>
  <c r="J105" i="7"/>
  <c r="T104" i="7"/>
  <c r="N104" i="7"/>
  <c r="T103" i="7"/>
  <c r="N103" i="7"/>
  <c r="T102" i="7"/>
  <c r="N102" i="7"/>
  <c r="U101" i="7"/>
  <c r="T101" i="7"/>
  <c r="S101" i="7"/>
  <c r="R101" i="7"/>
  <c r="Q101" i="7"/>
  <c r="P101" i="7"/>
  <c r="O101" i="7"/>
  <c r="N101" i="7"/>
  <c r="M101" i="7"/>
  <c r="L101" i="7"/>
  <c r="K101" i="7"/>
  <c r="J101" i="7"/>
  <c r="U92" i="7"/>
  <c r="T92" i="7"/>
  <c r="S92" i="7"/>
  <c r="R92" i="7"/>
  <c r="Q92" i="7"/>
  <c r="P92" i="7"/>
  <c r="O92" i="7"/>
  <c r="N92" i="7"/>
  <c r="M92" i="7"/>
  <c r="L92" i="7"/>
  <c r="K92" i="7"/>
  <c r="J92" i="7"/>
  <c r="U84" i="7"/>
  <c r="T84" i="7"/>
  <c r="S84" i="7"/>
  <c r="R84" i="7"/>
  <c r="Q84" i="7"/>
  <c r="P84" i="7"/>
  <c r="O84" i="7"/>
  <c r="N84" i="7"/>
  <c r="M84" i="7"/>
  <c r="L84" i="7"/>
  <c r="K84" i="7"/>
  <c r="J84" i="7"/>
  <c r="U81" i="7"/>
  <c r="T81" i="7"/>
  <c r="S81" i="7"/>
  <c r="R81" i="7"/>
  <c r="Q81" i="7"/>
  <c r="P81" i="7"/>
  <c r="O81" i="7"/>
  <c r="N81" i="7"/>
  <c r="M81" i="7"/>
  <c r="L81" i="7"/>
  <c r="K81" i="7"/>
  <c r="J81" i="7"/>
  <c r="U79" i="7"/>
  <c r="S79" i="7"/>
  <c r="R79" i="7"/>
  <c r="Q79" i="7"/>
  <c r="P79" i="7"/>
  <c r="O79" i="7"/>
  <c r="M79" i="7"/>
  <c r="L79" i="7"/>
  <c r="K79" i="7"/>
  <c r="J79" i="7"/>
  <c r="T78" i="7"/>
  <c r="T79" i="7" s="1"/>
  <c r="N78" i="7"/>
  <c r="N79" i="7" s="1"/>
  <c r="U77" i="7"/>
  <c r="T77" i="7"/>
  <c r="S77" i="7"/>
  <c r="R77" i="7"/>
  <c r="Q77" i="7"/>
  <c r="P77" i="7"/>
  <c r="O77" i="7"/>
  <c r="N77" i="7"/>
  <c r="M77" i="7"/>
  <c r="L77" i="7"/>
  <c r="K77" i="7"/>
  <c r="J77" i="7"/>
  <c r="U75" i="7"/>
  <c r="T75" i="7"/>
  <c r="S75" i="7"/>
  <c r="R75" i="7"/>
  <c r="Q75" i="7"/>
  <c r="P75" i="7"/>
  <c r="O75" i="7"/>
  <c r="N75" i="7"/>
  <c r="M75" i="7"/>
  <c r="L75" i="7"/>
  <c r="J75" i="7"/>
  <c r="U73" i="7"/>
  <c r="S73" i="7"/>
  <c r="R73" i="7"/>
  <c r="Q73" i="7"/>
  <c r="O73" i="7"/>
  <c r="M73" i="7"/>
  <c r="L73" i="7"/>
  <c r="K73" i="7"/>
  <c r="P70" i="7"/>
  <c r="J70" i="7"/>
  <c r="P69" i="7"/>
  <c r="J69" i="7"/>
  <c r="P68" i="7"/>
  <c r="J68" i="7"/>
  <c r="T54" i="7"/>
  <c r="T73" i="7" s="1"/>
  <c r="N54" i="7"/>
  <c r="U53" i="7"/>
  <c r="T53" i="7"/>
  <c r="S53" i="7"/>
  <c r="R53" i="7"/>
  <c r="Q53" i="7"/>
  <c r="P53" i="7"/>
  <c r="O53" i="7"/>
  <c r="M53" i="7"/>
  <c r="L53" i="7"/>
  <c r="K53" i="7"/>
  <c r="J53" i="7"/>
  <c r="U50" i="7"/>
  <c r="T50" i="7"/>
  <c r="S50" i="7"/>
  <c r="R50" i="7"/>
  <c r="Q50" i="7"/>
  <c r="P50" i="7"/>
  <c r="O50" i="7"/>
  <c r="N50" i="7"/>
  <c r="M50" i="7"/>
  <c r="L50" i="7"/>
  <c r="K50" i="7"/>
  <c r="J50" i="7"/>
  <c r="U48" i="7"/>
  <c r="T48" i="7"/>
  <c r="S48" i="7"/>
  <c r="R48" i="7"/>
  <c r="Q48" i="7"/>
  <c r="P48" i="7"/>
  <c r="O48" i="7"/>
  <c r="N48" i="7"/>
  <c r="M48" i="7"/>
  <c r="L48" i="7"/>
  <c r="K48" i="7"/>
  <c r="J48" i="7"/>
  <c r="U43" i="7"/>
  <c r="S43" i="7"/>
  <c r="R43" i="7"/>
  <c r="Q43" i="7"/>
  <c r="P43" i="7"/>
  <c r="O43" i="7"/>
  <c r="M43" i="7"/>
  <c r="L43" i="7"/>
  <c r="K43" i="7"/>
  <c r="J43" i="7"/>
  <c r="T42" i="7"/>
  <c r="T43" i="7" s="1"/>
  <c r="N42" i="7"/>
  <c r="N43" i="7" s="1"/>
  <c r="U41" i="7"/>
  <c r="T41" i="7"/>
  <c r="S41" i="7"/>
  <c r="R41" i="7"/>
  <c r="Q41" i="7"/>
  <c r="P41" i="7"/>
  <c r="O41" i="7"/>
  <c r="N41" i="7"/>
  <c r="M41" i="7"/>
  <c r="L41" i="7"/>
  <c r="K41" i="7"/>
  <c r="J41" i="7"/>
  <c r="U38" i="7"/>
  <c r="T38" i="7"/>
  <c r="S38" i="7"/>
  <c r="R38" i="7"/>
  <c r="Q38" i="7"/>
  <c r="P38" i="7"/>
  <c r="O38" i="7"/>
  <c r="N38" i="7"/>
  <c r="M38" i="7"/>
  <c r="L38" i="7"/>
  <c r="K38" i="7"/>
  <c r="J38" i="7"/>
  <c r="U35" i="7"/>
  <c r="T35" i="7"/>
  <c r="S35" i="7"/>
  <c r="R35" i="7"/>
  <c r="Q35" i="7"/>
  <c r="P35" i="7"/>
  <c r="O35" i="7"/>
  <c r="N35" i="7"/>
  <c r="M35" i="7"/>
  <c r="L35" i="7"/>
  <c r="K35" i="7"/>
  <c r="J35" i="7"/>
  <c r="U28" i="7"/>
  <c r="T28" i="7"/>
  <c r="S28" i="7"/>
  <c r="R28" i="7"/>
  <c r="Q28" i="7"/>
  <c r="P28" i="7"/>
  <c r="O28" i="7"/>
  <c r="N28" i="7"/>
  <c r="M28" i="7"/>
  <c r="L28" i="7"/>
  <c r="K28" i="7"/>
  <c r="U24" i="7"/>
  <c r="T24" i="7"/>
  <c r="S24" i="7"/>
  <c r="R24" i="7"/>
  <c r="Q24" i="7"/>
  <c r="P24" i="7"/>
  <c r="O24" i="7"/>
  <c r="N24" i="7"/>
  <c r="M24" i="7"/>
  <c r="L24" i="7"/>
  <c r="K24" i="7"/>
  <c r="U21" i="7"/>
  <c r="S21" i="7"/>
  <c r="R21" i="7"/>
  <c r="Q21" i="7"/>
  <c r="P21" i="7"/>
  <c r="O21" i="7"/>
  <c r="M21" i="7"/>
  <c r="L21" i="7"/>
  <c r="T15" i="7"/>
  <c r="T21" i="7" s="1"/>
  <c r="N15" i="7"/>
  <c r="T13" i="7"/>
  <c r="N13" i="7"/>
  <c r="U11" i="7"/>
  <c r="T11" i="7"/>
  <c r="S11" i="7"/>
  <c r="R11" i="7"/>
  <c r="Q11" i="7"/>
  <c r="P11" i="7"/>
  <c r="O11" i="7"/>
  <c r="N11" i="7"/>
  <c r="M11" i="7"/>
  <c r="L11" i="7"/>
  <c r="K11" i="7"/>
  <c r="R89" i="3" l="1"/>
  <c r="U89" i="3"/>
  <c r="S89" i="3"/>
  <c r="T89" i="3"/>
  <c r="Q89" i="3"/>
  <c r="P89" i="3"/>
  <c r="V89" i="3"/>
  <c r="N89" i="3"/>
  <c r="M89" i="3"/>
  <c r="L89" i="3"/>
  <c r="B89" i="3"/>
  <c r="A89" i="3"/>
  <c r="K89" i="3"/>
  <c r="P73" i="7"/>
  <c r="N231" i="7"/>
  <c r="N109" i="7"/>
  <c r="N293" i="7"/>
  <c r="N21" i="7"/>
  <c r="P109" i="7"/>
  <c r="N165" i="7"/>
  <c r="T231" i="7"/>
  <c r="T293" i="7"/>
  <c r="J109" i="7"/>
  <c r="J73" i="7"/>
  <c r="N73" i="7" s="1"/>
  <c r="T165" i="7"/>
  <c r="T109" i="7"/>
  <c r="X126" i="1"/>
  <c r="G126" i="1"/>
  <c r="I7" i="7"/>
  <c r="I8" i="7"/>
  <c r="I9" i="7"/>
  <c r="I10" i="7"/>
  <c r="I12" i="7"/>
  <c r="I14" i="7"/>
  <c r="I16" i="7"/>
  <c r="I17" i="7"/>
  <c r="I18" i="7"/>
  <c r="I19" i="7"/>
  <c r="I20" i="7"/>
  <c r="I22" i="7"/>
  <c r="I23" i="7"/>
  <c r="I25" i="7"/>
  <c r="I26" i="7"/>
  <c r="I27" i="7"/>
  <c r="I29" i="7"/>
  <c r="I30" i="7"/>
  <c r="I31" i="7"/>
  <c r="I32" i="7"/>
  <c r="I33" i="7"/>
  <c r="I34" i="7"/>
  <c r="I36" i="7"/>
  <c r="I37" i="7"/>
  <c r="I39" i="7"/>
  <c r="I40" i="7"/>
  <c r="I44" i="7"/>
  <c r="I45" i="7"/>
  <c r="I46" i="7"/>
  <c r="I47" i="7"/>
  <c r="I49" i="7"/>
  <c r="I51" i="7"/>
  <c r="I52" i="7"/>
  <c r="I55" i="7"/>
  <c r="I56" i="7"/>
  <c r="I57" i="7"/>
  <c r="I58" i="7"/>
  <c r="I59" i="7"/>
  <c r="I60" i="7"/>
  <c r="I61" i="7"/>
  <c r="I62" i="7"/>
  <c r="I63" i="7"/>
  <c r="I64" i="7"/>
  <c r="I65" i="7"/>
  <c r="I66" i="7"/>
  <c r="I67" i="7"/>
  <c r="I71" i="7"/>
  <c r="I72" i="7"/>
  <c r="I74" i="7"/>
  <c r="I76" i="7"/>
  <c r="I80" i="7"/>
  <c r="I82" i="7"/>
  <c r="I83" i="7"/>
  <c r="I85" i="7"/>
  <c r="I86" i="7"/>
  <c r="I87" i="7"/>
  <c r="I88" i="7"/>
  <c r="I89" i="7"/>
  <c r="I90" i="7"/>
  <c r="I91" i="7"/>
  <c r="I93" i="7"/>
  <c r="I94" i="7"/>
  <c r="I95" i="7"/>
  <c r="I96" i="7"/>
  <c r="I97" i="7"/>
  <c r="I98" i="7"/>
  <c r="I99" i="7"/>
  <c r="I100" i="7"/>
  <c r="I110" i="7"/>
  <c r="I111" i="7"/>
  <c r="I113" i="7"/>
  <c r="I114" i="7"/>
  <c r="I115" i="7"/>
  <c r="I116" i="7"/>
  <c r="I118" i="7"/>
  <c r="I124" i="7"/>
  <c r="I125" i="7"/>
  <c r="I126" i="7"/>
  <c r="I127" i="7"/>
  <c r="I128" i="7"/>
  <c r="I129" i="7"/>
  <c r="I131" i="7"/>
  <c r="I132" i="7"/>
  <c r="I133" i="7"/>
  <c r="I136" i="7"/>
  <c r="I137" i="7"/>
  <c r="I138" i="7"/>
  <c r="I139" i="7"/>
  <c r="I140" i="7"/>
  <c r="I141" i="7"/>
  <c r="I143" i="7"/>
  <c r="I144" i="7"/>
  <c r="I145" i="7"/>
  <c r="I146" i="7"/>
  <c r="I147" i="7"/>
  <c r="I148" i="7"/>
  <c r="I150" i="7"/>
  <c r="I151" i="7"/>
  <c r="I152" i="7"/>
  <c r="I153" i="7"/>
  <c r="I154" i="7"/>
  <c r="I155" i="7"/>
  <c r="I156" i="7"/>
  <c r="I157" i="7"/>
  <c r="I158" i="7"/>
  <c r="I159" i="7"/>
  <c r="I160" i="7"/>
  <c r="I161" i="7"/>
  <c r="I162" i="7"/>
  <c r="I163" i="7"/>
  <c r="I164" i="7"/>
  <c r="I166" i="7"/>
  <c r="I168" i="7"/>
  <c r="I169" i="7"/>
  <c r="I170" i="7"/>
  <c r="I171" i="7"/>
  <c r="I172" i="7"/>
  <c r="I173" i="7"/>
  <c r="I174" i="7"/>
  <c r="I175" i="7"/>
  <c r="I176" i="7"/>
  <c r="I177" i="7"/>
  <c r="I178" i="7"/>
  <c r="I179" i="7"/>
  <c r="I180" i="7"/>
  <c r="I182" i="7"/>
  <c r="I183" i="7"/>
  <c r="I184" i="7"/>
  <c r="I185" i="7"/>
  <c r="I187" i="7"/>
  <c r="I189" i="7"/>
  <c r="I190" i="7"/>
  <c r="I191" i="7"/>
  <c r="I192" i="7"/>
  <c r="I193" i="7"/>
  <c r="I194" i="7"/>
  <c r="I195" i="7"/>
  <c r="I196" i="7"/>
  <c r="I197" i="7"/>
  <c r="I198" i="7"/>
  <c r="I200" i="7"/>
  <c r="I201" i="7"/>
  <c r="I202" i="7"/>
  <c r="I203" i="7"/>
  <c r="I204" i="7"/>
  <c r="I205" i="7"/>
  <c r="I207" i="7"/>
  <c r="I208" i="7"/>
  <c r="I209" i="7"/>
  <c r="I210" i="7"/>
  <c r="I211" i="7"/>
  <c r="I212" i="7"/>
  <c r="I214" i="7"/>
  <c r="I215" i="7"/>
  <c r="I216" i="7"/>
  <c r="I217" i="7"/>
  <c r="I218" i="7"/>
  <c r="I219" i="7"/>
  <c r="I220" i="7"/>
  <c r="I221" i="7"/>
  <c r="I222" i="7"/>
  <c r="I223" i="7"/>
  <c r="I224" i="7"/>
  <c r="I225" i="7"/>
  <c r="I226" i="7"/>
  <c r="I227" i="7"/>
  <c r="I228" i="7"/>
  <c r="I229" i="7"/>
  <c r="I230" i="7"/>
  <c r="I232" i="7"/>
  <c r="I233" i="7"/>
  <c r="I234" i="7"/>
  <c r="I235" i="7"/>
  <c r="I236" i="7"/>
  <c r="I237" i="7"/>
  <c r="I238" i="7"/>
  <c r="I239" i="7"/>
  <c r="I240" i="7"/>
  <c r="I241" i="7"/>
  <c r="I242" i="7"/>
  <c r="I243" i="7"/>
  <c r="I244" i="7"/>
  <c r="I246" i="7"/>
  <c r="I247" i="7"/>
  <c r="I248" i="7"/>
  <c r="I249" i="7"/>
  <c r="I250" i="7"/>
  <c r="I251" i="7"/>
  <c r="I252" i="7"/>
  <c r="I253" i="7"/>
  <c r="I254" i="7"/>
  <c r="I255" i="7"/>
  <c r="I256" i="7"/>
  <c r="I257" i="7"/>
  <c r="I258" i="7"/>
  <c r="I259" i="7"/>
  <c r="I260" i="7"/>
  <c r="I263" i="7"/>
  <c r="I264" i="7"/>
  <c r="I265" i="7"/>
  <c r="I266" i="7"/>
  <c r="I267" i="7"/>
  <c r="I268" i="7"/>
  <c r="I270" i="7"/>
  <c r="I271" i="7"/>
  <c r="I272" i="7"/>
  <c r="I273" i="7"/>
  <c r="I274" i="7"/>
  <c r="I275" i="7"/>
  <c r="I277" i="7"/>
  <c r="I278" i="7"/>
  <c r="I279" i="7"/>
  <c r="I280" i="7"/>
  <c r="I281" i="7"/>
  <c r="I282" i="7"/>
  <c r="I283" i="7"/>
  <c r="I284" i="7"/>
  <c r="I285" i="7"/>
  <c r="I286" i="7"/>
  <c r="I287" i="7"/>
  <c r="I288" i="7"/>
  <c r="I289" i="7"/>
  <c r="I290" i="7"/>
  <c r="I291" i="7"/>
  <c r="I292" i="7"/>
  <c r="I294" i="7"/>
  <c r="I295" i="7"/>
  <c r="I296" i="7"/>
  <c r="I297" i="7"/>
  <c r="I298" i="7"/>
  <c r="I299" i="7"/>
  <c r="I300" i="7"/>
  <c r="I301" i="7"/>
  <c r="I304" i="7"/>
  <c r="I6" i="7"/>
  <c r="E94" i="1"/>
  <c r="F84" i="1"/>
  <c r="E84" i="1"/>
  <c r="W89" i="3" l="1"/>
  <c r="O89" i="3"/>
  <c r="C89" i="3"/>
  <c r="AA63" i="1"/>
  <c r="AA61" i="1"/>
  <c r="F61" i="1"/>
  <c r="E61" i="1"/>
  <c r="X61" i="1"/>
  <c r="Y61" i="1" s="1"/>
  <c r="Z61" i="1" s="1"/>
  <c r="AG60" i="1"/>
  <c r="AD60" i="1"/>
  <c r="AG50" i="1"/>
  <c r="AH50" i="1"/>
  <c r="AC50" i="1"/>
  <c r="AD50" i="1"/>
  <c r="AE50" i="1"/>
  <c r="Y50" i="1"/>
  <c r="Z50" i="1"/>
  <c r="Y37" i="1"/>
  <c r="H305" i="7" l="1"/>
  <c r="G305" i="7"/>
  <c r="H303" i="7"/>
  <c r="G302" i="7"/>
  <c r="H276" i="7"/>
  <c r="G276" i="7"/>
  <c r="H269" i="7"/>
  <c r="G269" i="7"/>
  <c r="H262" i="7"/>
  <c r="G262" i="7"/>
  <c r="H261" i="7"/>
  <c r="G261" i="7"/>
  <c r="I261" i="7" s="1"/>
  <c r="H245" i="7"/>
  <c r="G245" i="7"/>
  <c r="H213" i="7"/>
  <c r="G213" i="7"/>
  <c r="I213" i="7" s="1"/>
  <c r="H206" i="7"/>
  <c r="G206" i="7"/>
  <c r="H199" i="7"/>
  <c r="G199" i="7"/>
  <c r="I199" i="7" s="1"/>
  <c r="H188" i="7"/>
  <c r="G188" i="7"/>
  <c r="I188" i="7" s="1"/>
  <c r="H186" i="7"/>
  <c r="G186" i="7"/>
  <c r="I186" i="7" s="1"/>
  <c r="H181" i="7"/>
  <c r="G181" i="7"/>
  <c r="H167" i="7"/>
  <c r="G167" i="7"/>
  <c r="I167" i="7" s="1"/>
  <c r="H149" i="7"/>
  <c r="G149" i="7"/>
  <c r="H142" i="7"/>
  <c r="G142" i="7"/>
  <c r="I142" i="7" s="1"/>
  <c r="H135" i="7"/>
  <c r="G135" i="7"/>
  <c r="I135" i="7" s="1"/>
  <c r="H134" i="7"/>
  <c r="G134" i="7"/>
  <c r="I134" i="7" s="1"/>
  <c r="H130" i="7"/>
  <c r="G130" i="7"/>
  <c r="H122" i="7"/>
  <c r="H123" i="7" s="1"/>
  <c r="G122" i="7"/>
  <c r="H120" i="7"/>
  <c r="H121" i="7" s="1"/>
  <c r="G120" i="7"/>
  <c r="H119" i="7"/>
  <c r="G119" i="7"/>
  <c r="I119" i="7" s="1"/>
  <c r="H117" i="7"/>
  <c r="G117" i="7"/>
  <c r="I117" i="7" s="1"/>
  <c r="H112" i="7"/>
  <c r="G112" i="7"/>
  <c r="I112" i="7" s="1"/>
  <c r="H108" i="7"/>
  <c r="G108" i="7"/>
  <c r="H107" i="7"/>
  <c r="G107" i="7"/>
  <c r="I107" i="7" s="1"/>
  <c r="H106" i="7"/>
  <c r="G106" i="7"/>
  <c r="H105" i="7"/>
  <c r="G105" i="7"/>
  <c r="I105" i="7" s="1"/>
  <c r="H104" i="7"/>
  <c r="G104" i="7"/>
  <c r="I104" i="7" s="1"/>
  <c r="H103" i="7"/>
  <c r="G103" i="7"/>
  <c r="I103" i="7" s="1"/>
  <c r="H102" i="7"/>
  <c r="G102" i="7"/>
  <c r="H101" i="7"/>
  <c r="G101" i="7"/>
  <c r="I101" i="7" s="1"/>
  <c r="H92" i="7"/>
  <c r="G92" i="7"/>
  <c r="H84" i="7"/>
  <c r="G84" i="7"/>
  <c r="I84" i="7" s="1"/>
  <c r="H81" i="7"/>
  <c r="G81" i="7"/>
  <c r="I81" i="7" s="1"/>
  <c r="H78" i="7"/>
  <c r="H79" i="7" s="1"/>
  <c r="G78" i="7"/>
  <c r="H77" i="7"/>
  <c r="G77" i="7"/>
  <c r="H75" i="7"/>
  <c r="G75" i="7"/>
  <c r="I75" i="7" s="1"/>
  <c r="H70" i="7"/>
  <c r="G70" i="7"/>
  <c r="H69" i="7"/>
  <c r="G69" i="7"/>
  <c r="H68" i="7"/>
  <c r="G68" i="7"/>
  <c r="I68" i="7" s="1"/>
  <c r="H54" i="7"/>
  <c r="G54" i="7"/>
  <c r="I54" i="7" s="1"/>
  <c r="H53" i="7"/>
  <c r="G53" i="7"/>
  <c r="H50" i="7"/>
  <c r="G50" i="7"/>
  <c r="H48" i="7"/>
  <c r="G48" i="7"/>
  <c r="H42" i="7"/>
  <c r="H43" i="7" s="1"/>
  <c r="G42" i="7"/>
  <c r="H41" i="7"/>
  <c r="G41" i="7"/>
  <c r="I41" i="7" s="1"/>
  <c r="H38" i="7"/>
  <c r="G38" i="7"/>
  <c r="I38" i="7" s="1"/>
  <c r="H35" i="7"/>
  <c r="G35" i="7"/>
  <c r="H28" i="7"/>
  <c r="G28" i="7"/>
  <c r="I28" i="7" s="1"/>
  <c r="H24" i="7"/>
  <c r="G24" i="7"/>
  <c r="H15" i="7"/>
  <c r="H21" i="7" s="1"/>
  <c r="G15" i="7"/>
  <c r="H13" i="7"/>
  <c r="G13" i="7"/>
  <c r="I13" i="7" s="1"/>
  <c r="H11" i="7"/>
  <c r="G11" i="7"/>
  <c r="I11" i="7" s="1"/>
  <c r="I269" i="7" l="1"/>
  <c r="I50" i="7"/>
  <c r="I77" i="7"/>
  <c r="I102" i="7"/>
  <c r="I108" i="7"/>
  <c r="I130" i="7"/>
  <c r="I181" i="7"/>
  <c r="I245" i="7"/>
  <c r="I305" i="7"/>
  <c r="I69" i="7"/>
  <c r="I262" i="7"/>
  <c r="G79" i="7"/>
  <c r="I79" i="7" s="1"/>
  <c r="I78" i="7"/>
  <c r="G21" i="7"/>
  <c r="I21" i="7" s="1"/>
  <c r="I15" i="7"/>
  <c r="G43" i="7"/>
  <c r="I43" i="7" s="1"/>
  <c r="I42" i="7"/>
  <c r="I24" i="7"/>
  <c r="I48" i="7"/>
  <c r="I70" i="7"/>
  <c r="I92" i="7"/>
  <c r="I106" i="7"/>
  <c r="G121" i="7"/>
  <c r="I121" i="7" s="1"/>
  <c r="I120" i="7"/>
  <c r="I149" i="7"/>
  <c r="I206" i="7"/>
  <c r="I276" i="7"/>
  <c r="G123" i="7"/>
  <c r="I123" i="7" s="1"/>
  <c r="I122" i="7"/>
  <c r="G303" i="7"/>
  <c r="I303" i="7" s="1"/>
  <c r="I302" i="7"/>
  <c r="I35" i="7"/>
  <c r="I53" i="7"/>
  <c r="G293" i="7"/>
  <c r="H165" i="7"/>
  <c r="G231" i="7"/>
  <c r="G165" i="7"/>
  <c r="H293" i="7"/>
  <c r="G109" i="7"/>
  <c r="H231" i="7"/>
  <c r="H109" i="7"/>
  <c r="H73" i="7"/>
  <c r="G73" i="7"/>
  <c r="I73" i="7" l="1"/>
  <c r="I293" i="7"/>
  <c r="I109" i="7"/>
  <c r="I165" i="7"/>
  <c r="I231" i="7"/>
  <c r="Z96" i="1"/>
  <c r="Z102" i="1"/>
  <c r="Y102" i="1"/>
  <c r="BC102" i="1"/>
  <c r="X96" i="1"/>
  <c r="X92" i="1"/>
  <c r="X93" i="1"/>
  <c r="X94" i="1"/>
  <c r="X95" i="1"/>
  <c r="Z54" i="1"/>
  <c r="Y54" i="1"/>
  <c r="Y46" i="1" l="1"/>
  <c r="Z46" i="1" s="1"/>
  <c r="X46" i="1"/>
  <c r="AA54" i="1"/>
  <c r="AA62" i="1"/>
  <c r="AA67" i="1"/>
  <c r="AA69" i="1"/>
  <c r="AA70" i="1"/>
  <c r="AA73" i="1"/>
  <c r="AA74" i="1"/>
  <c r="AA75" i="1"/>
  <c r="AA76" i="1"/>
  <c r="AA77" i="1"/>
  <c r="AA78" i="1"/>
  <c r="AA79" i="1"/>
  <c r="AA92" i="1"/>
  <c r="AA93" i="1"/>
  <c r="AA94" i="1"/>
  <c r="AA95" i="1"/>
  <c r="AA45" i="1"/>
  <c r="X44" i="1"/>
  <c r="AA8" i="1"/>
  <c r="X8" i="1"/>
  <c r="E8" i="1"/>
  <c r="AA46" i="1" l="1"/>
</calcChain>
</file>

<file path=xl/sharedStrings.xml><?xml version="1.0" encoding="utf-8"?>
<sst xmlns="http://schemas.openxmlformats.org/spreadsheetml/2006/main" count="10269" uniqueCount="1072">
  <si>
    <t>Study name</t>
  </si>
  <si>
    <t>Website/ citation</t>
  </si>
  <si>
    <t>Nº of Subjects</t>
  </si>
  <si>
    <t>Nº of Samples</t>
  </si>
  <si>
    <t>Nº of males</t>
  </si>
  <si>
    <t>Nº of females</t>
  </si>
  <si>
    <t>APOE</t>
  </si>
  <si>
    <t>Notas</t>
  </si>
  <si>
    <t>KORA</t>
  </si>
  <si>
    <t>GenADA</t>
  </si>
  <si>
    <t>https://www.ncbi.nlm.nih.gov/projects/gap/cgi-bin/GetListOfAllObjects.cgi?study_id=phs000219.v1.p1&amp;object_type=analysis</t>
  </si>
  <si>
    <t>SNP</t>
  </si>
  <si>
    <t>Genotyped</t>
  </si>
  <si>
    <t>CEL</t>
  </si>
  <si>
    <t>MTC</t>
  </si>
  <si>
    <t>https://www.niagads.org/datasets/ng00096</t>
  </si>
  <si>
    <t>-</t>
  </si>
  <si>
    <t>OHSU</t>
  </si>
  <si>
    <t>https://www.niagads.org/datasets/ng00017</t>
  </si>
  <si>
    <t>PFIZER</t>
  </si>
  <si>
    <t>NA</t>
  </si>
  <si>
    <t>TGEN2</t>
  </si>
  <si>
    <t>https://www.niagads.org/datasets/ng00028</t>
  </si>
  <si>
    <t>UM/CWRU/MSSM</t>
  </si>
  <si>
    <t>https://www.niagads.org/datasets/ng00042</t>
  </si>
  <si>
    <t xml:space="preserve"> </t>
  </si>
  <si>
    <t>NCRAD/NIA-LOAD</t>
  </si>
  <si>
    <t>https://www.niagads.org/datasets/ng00032</t>
  </si>
  <si>
    <t>UPITT</t>
  </si>
  <si>
    <t>https://www.niagads.org/datasets/ng00026</t>
  </si>
  <si>
    <t>AGES-RS</t>
  </si>
  <si>
    <t>https://www.hgsc.bcm.edu/human/charge-consortium</t>
  </si>
  <si>
    <t>ASPS/PRODEM</t>
  </si>
  <si>
    <t>ARUK</t>
  </si>
  <si>
    <t>https://portal.dementiasplatform.uk/CohortDirectory/Item?fingerPrintID=GERAD</t>
  </si>
  <si>
    <t>BONN</t>
  </si>
  <si>
    <t>HNR</t>
  </si>
  <si>
    <t>NIMH</t>
  </si>
  <si>
    <t>https://www.nimhgenetics.org/</t>
  </si>
  <si>
    <t>Gr@ace</t>
  </si>
  <si>
    <t>PLINK</t>
  </si>
  <si>
    <t>NxC</t>
  </si>
  <si>
    <t>Norwegian DemGene</t>
  </si>
  <si>
    <t>UKS</t>
  </si>
  <si>
    <t>23andMe</t>
  </si>
  <si>
    <t>https://www.23andme.com/en-int/</t>
  </si>
  <si>
    <t>deCODE</t>
  </si>
  <si>
    <t>https://www.decode.com/research/</t>
  </si>
  <si>
    <t>Finngen</t>
  </si>
  <si>
    <t>https://www.finngen.fi/en</t>
  </si>
  <si>
    <t>WGS</t>
  </si>
  <si>
    <t>www.ukbiobank.ac.uk</t>
  </si>
  <si>
    <t>WES</t>
  </si>
  <si>
    <t>ISAVRAD</t>
  </si>
  <si>
    <t>https://adsp.niagads.org/data/contributing-cohorts/</t>
  </si>
  <si>
    <t>The Amish Protective Variant Study</t>
  </si>
  <si>
    <t>100 plus study</t>
  </si>
  <si>
    <t>https://neurodegenerationresearch.eu/survey/eadb-a-european-dna-bank-for-deciphering-the-missing-heritability-of-alzheimer%C2%92s-disease/</t>
  </si>
  <si>
    <t>EADB Denmark</t>
  </si>
  <si>
    <t>Greece (HELIAD)</t>
  </si>
  <si>
    <t>Parelsnoer Institute</t>
  </si>
  <si>
    <t>EADI</t>
  </si>
  <si>
    <t>Gothenburg H70 Birth Cohort Studies</t>
  </si>
  <si>
    <t>NCGG biobank</t>
  </si>
  <si>
    <t>https://www.ncgg.go.jp/english/</t>
  </si>
  <si>
    <t>Niigata University</t>
  </si>
  <si>
    <t>https://www.med.niigata-u.ac.jp/hyg/project-en.html</t>
  </si>
  <si>
    <t>STSA</t>
  </si>
  <si>
    <t>https://www.icpsr.umich.edu/web/NACDA/studies/3843/datadocumentation#</t>
  </si>
  <si>
    <t>TwinGene</t>
  </si>
  <si>
    <t>https://ki.se/en/research/the-swedish-twin-registry</t>
  </si>
  <si>
    <t>BIOCARD</t>
  </si>
  <si>
    <t>EAS</t>
  </si>
  <si>
    <t>https://www.maelstrom-research.org/study/eas</t>
  </si>
  <si>
    <t>ANMerge</t>
  </si>
  <si>
    <t>EADB Belgium</t>
  </si>
  <si>
    <t>EADB Czech</t>
  </si>
  <si>
    <t>EADB ERASMUS MC</t>
  </si>
  <si>
    <t>EADB Finland</t>
  </si>
  <si>
    <t>EADB France</t>
  </si>
  <si>
    <t>Germany (DELCODE)</t>
  </si>
  <si>
    <t>EADB Italy</t>
  </si>
  <si>
    <t>Maastricht University Medical Center</t>
  </si>
  <si>
    <t>EADB Portugal</t>
  </si>
  <si>
    <t>EADB Spain</t>
  </si>
  <si>
    <t>EADB Sweden</t>
  </si>
  <si>
    <t>EADB Switzerland + Austria</t>
  </si>
  <si>
    <t>Sydney MAS</t>
  </si>
  <si>
    <t>EADB UK</t>
  </si>
  <si>
    <t>Banner health APOE longitudinal</t>
  </si>
  <si>
    <t>https://dss.niagads.org/cohorts/banner-health-apoe-longitudinal/</t>
  </si>
  <si>
    <t>CCHS</t>
  </si>
  <si>
    <t>HUNT</t>
  </si>
  <si>
    <t>HIHG</t>
  </si>
  <si>
    <t>https://med.miami.edu/centers-and-institutes/hihg</t>
  </si>
  <si>
    <t>MRC</t>
  </si>
  <si>
    <t>BioVU</t>
  </si>
  <si>
    <t>https://victr.vumc.org/biovu-description/</t>
  </si>
  <si>
    <t>CSDC</t>
  </si>
  <si>
    <t>Mexican APP-PSEN</t>
  </si>
  <si>
    <t>Mexico 10/66</t>
  </si>
  <si>
    <t>Portuguese Alzeimer’s Disease Cohort</t>
  </si>
  <si>
    <t>CHGR</t>
  </si>
  <si>
    <t>1958BC</t>
  </si>
  <si>
    <t>UCL:LASER</t>
  </si>
  <si>
    <t>UCL:PRION</t>
  </si>
  <si>
    <t>MIRAGE</t>
  </si>
  <si>
    <t>MAYO / RMAYO</t>
  </si>
  <si>
    <t>ADRC</t>
  </si>
  <si>
    <t>CBD</t>
  </si>
  <si>
    <t>CNSA</t>
  </si>
  <si>
    <t>CuAADI</t>
  </si>
  <si>
    <t>CWRU Autopsy</t>
  </si>
  <si>
    <t>CWRU Rapid decline</t>
  </si>
  <si>
    <t>EFIGA</t>
  </si>
  <si>
    <t>GenDiff</t>
  </si>
  <si>
    <t>GenerAAtions</t>
  </si>
  <si>
    <t>HAN</t>
  </si>
  <si>
    <t>MIA</t>
  </si>
  <si>
    <t>PeADI</t>
  </si>
  <si>
    <t>PRADI</t>
  </si>
  <si>
    <t>PSP</t>
  </si>
  <si>
    <t>PSP UCLA</t>
  </si>
  <si>
    <t>Puerto Rican 10/66 Study (PR1066)</t>
  </si>
  <si>
    <t>RAS</t>
  </si>
  <si>
    <t>REAAADI</t>
  </si>
  <si>
    <t>University of Toronto</t>
  </si>
  <si>
    <t>VAN</t>
  </si>
  <si>
    <t>TARCC</t>
  </si>
  <si>
    <t>NBB</t>
  </si>
  <si>
    <t>MSBB</t>
  </si>
  <si>
    <t>MBB</t>
  </si>
  <si>
    <t>CHAP</t>
  </si>
  <si>
    <t>ROS/MAP</t>
  </si>
  <si>
    <t>WHICAP</t>
  </si>
  <si>
    <t>CCS</t>
  </si>
  <si>
    <t>GARD</t>
  </si>
  <si>
    <t>IIAA/IIBD</t>
  </si>
  <si>
    <t>LASI-DAD</t>
  </si>
  <si>
    <t>LGP</t>
  </si>
  <si>
    <t>LonGenity</t>
  </si>
  <si>
    <t>MHAS</t>
  </si>
  <si>
    <t>NOMAS</t>
  </si>
  <si>
    <t>Wellderly</t>
  </si>
  <si>
    <t>WRAP</t>
  </si>
  <si>
    <t>ACT</t>
  </si>
  <si>
    <t>ARIC</t>
  </si>
  <si>
    <t>ASPREE</t>
  </si>
  <si>
    <t>ERF</t>
  </si>
  <si>
    <t>HRS</t>
  </si>
  <si>
    <t>MARS</t>
  </si>
  <si>
    <t>CHS</t>
  </si>
  <si>
    <t>FHS</t>
  </si>
  <si>
    <t>Rotterdam Study</t>
  </si>
  <si>
    <t>A4 Study</t>
  </si>
  <si>
    <t>KBASE</t>
  </si>
  <si>
    <t>ADNI</t>
  </si>
  <si>
    <t>KGAD</t>
  </si>
  <si>
    <t>StEP AD</t>
  </si>
  <si>
    <t>https://www.niagads.org/datasets/ng00031</t>
  </si>
  <si>
    <t>https://www.mayo.edu/research/centers-programs/alzheimers-disease-research-center/research-activities/mayo-clinic-study-aging/for-researchers/data-sharing-resources</t>
  </si>
  <si>
    <t>https://dss.niagads.org/cohorts/nia-alzheimer-disease-research-centers-adrc/</t>
  </si>
  <si>
    <t>http://grantome.com/grant/NIH/R01-AG007584-10S1</t>
  </si>
  <si>
    <t>https://www.alz.co.uk/1066/</t>
  </si>
  <si>
    <t>http://www.tanz.med.utoronto.ca/familial-alzheimer%E2%80%99s-disease-registry</t>
  </si>
  <si>
    <t>https://www.brainbank.nl/</t>
  </si>
  <si>
    <t>https://med.miami.edu/programs/brain-endowment-bank</t>
  </si>
  <si>
    <t>https://dss.niagads.org/cohorts/chicago-health-and-aging-project-chap/</t>
  </si>
  <si>
    <t>https://www.niagads.org/datasets/ng00029</t>
  </si>
  <si>
    <t>https://dss.niagads.org/studies/sa000007/</t>
  </si>
  <si>
    <t>https://lasi-dad.org/</t>
  </si>
  <si>
    <t>https://www.scripps.edu/science-and-medicine/translational-institute/translational-research/genomic-medicine/wellderly/</t>
  </si>
  <si>
    <t>https://wrap.wisc.edu/</t>
  </si>
  <si>
    <t>https://www.niagads.org/datasets/ng00034</t>
  </si>
  <si>
    <t>https://sites.cscc.unc.edu/aric/desc_pub</t>
  </si>
  <si>
    <t>https://aspree.org/</t>
  </si>
  <si>
    <t>https://www.rushu.rush.edu/research/departmental-research/minority-aging-research-study</t>
  </si>
  <si>
    <t>http://www.erasmus-epidemiology.nl/research/ergo.htm</t>
  </si>
  <si>
    <t>https://a4study.org/</t>
  </si>
  <si>
    <t>https://adni.loni.usc.edu/</t>
  </si>
  <si>
    <t>Genomic Assay</t>
  </si>
  <si>
    <t>Study Identity</t>
  </si>
  <si>
    <t>x</t>
  </si>
  <si>
    <t>American Indian/Alaska Native</t>
  </si>
  <si>
    <t>Asian</t>
  </si>
  <si>
    <t>Black or African American</t>
  </si>
  <si>
    <t>White</t>
  </si>
  <si>
    <t>Native Hawaiian or Other Pacific Islander</t>
  </si>
  <si>
    <t>Race</t>
  </si>
  <si>
    <t>Sex</t>
  </si>
  <si>
    <t>Diagnosis</t>
  </si>
  <si>
    <t>Ethnicity</t>
  </si>
  <si>
    <t>Hispanic or Latino</t>
  </si>
  <si>
    <t>Not Hispanic or Latino</t>
  </si>
  <si>
    <t xml:space="preserve">NA </t>
  </si>
  <si>
    <t>22</t>
  </si>
  <si>
    <t>23</t>
  </si>
  <si>
    <t>24</t>
  </si>
  <si>
    <t>NG00022</t>
  </si>
  <si>
    <t>https://dss.niagads.org/sample-sets/snd10058/</t>
  </si>
  <si>
    <t>NG00023</t>
  </si>
  <si>
    <t>https://dss.niagads.org/sample-sets/snd10059/</t>
  </si>
  <si>
    <t>NG00024</t>
  </si>
  <si>
    <t>https://dss.niagads.org/sample-sets/snd10060/</t>
  </si>
  <si>
    <t>NG00035</t>
  </si>
  <si>
    <t>https://dss.niagads.org/sample-sets/snd10111/</t>
  </si>
  <si>
    <t>NG00050</t>
  </si>
  <si>
    <t>https://dss.niagads.org/sample-sets/snd10112/</t>
  </si>
  <si>
    <t>NG00067</t>
  </si>
  <si>
    <t>NG00068</t>
  </si>
  <si>
    <t>https://dss.niagads.org/sample-sets/snd10061/</t>
  </si>
  <si>
    <t>NG00069</t>
  </si>
  <si>
    <t>https://dss.niagads.org/sample-sets/snd10062/</t>
  </si>
  <si>
    <t>NG00070</t>
  </si>
  <si>
    <t>https://dss.niagads.org/sample-sets/snd10063/</t>
  </si>
  <si>
    <t>NG00071</t>
  </si>
  <si>
    <t>https://dss.niagads.org/sample-sets/snd10064/</t>
  </si>
  <si>
    <t>NG00102</t>
  </si>
  <si>
    <t>https://dss.niagads.org/sample-sets/snd10048/</t>
  </si>
  <si>
    <t>NG00105</t>
  </si>
  <si>
    <t>NG00106</t>
  </si>
  <si>
    <t>NG00108</t>
  </si>
  <si>
    <t>https://dss.niagads.org/sample-sets/snd10021/</t>
  </si>
  <si>
    <t>NG00113</t>
  </si>
  <si>
    <t>https://dss.niagads.org/sample-sets/snd10024/</t>
  </si>
  <si>
    <t>NG00114</t>
  </si>
  <si>
    <t>DNA methylation</t>
  </si>
  <si>
    <t>https://dss.niagads.org/sample-sets/snd10025/</t>
  </si>
  <si>
    <t>NG00116</t>
  </si>
  <si>
    <t>VCF</t>
  </si>
  <si>
    <t>https://dss.niagads.org/sample-sets/snd10074/</t>
  </si>
  <si>
    <t>NG00118</t>
  </si>
  <si>
    <t>https://dss.niagads.org/sample-sets/snd10041/</t>
  </si>
  <si>
    <t>NG00119</t>
  </si>
  <si>
    <t>NG00127</t>
  </si>
  <si>
    <t>NG00128</t>
  </si>
  <si>
    <t>NG00132</t>
  </si>
  <si>
    <t>NG00136</t>
  </si>
  <si>
    <t>NG00137</t>
  </si>
  <si>
    <t>NG00138</t>
  </si>
  <si>
    <t>NG00139</t>
  </si>
  <si>
    <t>NG00140</t>
  </si>
  <si>
    <t>NG00142</t>
  </si>
  <si>
    <t>FASTQ</t>
  </si>
  <si>
    <t>NG00149</t>
  </si>
  <si>
    <t>NG00150</t>
  </si>
  <si>
    <t>NG00151</t>
  </si>
  <si>
    <t>NG00153</t>
  </si>
  <si>
    <t>NG00167</t>
  </si>
  <si>
    <t>RealSeq®-AC sRNA kit</t>
  </si>
  <si>
    <t>NG00168</t>
  </si>
  <si>
    <t>NG00171</t>
  </si>
  <si>
    <t>NG00176</t>
  </si>
  <si>
    <t>BED</t>
  </si>
  <si>
    <t>33</t>
  </si>
  <si>
    <t>34</t>
  </si>
  <si>
    <t>44</t>
  </si>
  <si>
    <t>SNP array</t>
  </si>
  <si>
    <t>https://dss.niagads.org/datasets/ng00022/</t>
  </si>
  <si>
    <t>Study Name</t>
  </si>
  <si>
    <t>ID</t>
  </si>
  <si>
    <t>MAYO/ RMAYO</t>
  </si>
  <si>
    <t>institute/translational-research/genomic-medicine/wellderly/</t>
  </si>
  <si>
    <t>snd10000</t>
  </si>
  <si>
    <t>snd10001</t>
  </si>
  <si>
    <t>snd10002</t>
  </si>
  <si>
    <t>snd10003</t>
  </si>
  <si>
    <t>snd10004</t>
  </si>
  <si>
    <t>snd10005</t>
  </si>
  <si>
    <t>snd10006</t>
  </si>
  <si>
    <t>snd10007</t>
  </si>
  <si>
    <t>snd10008</t>
  </si>
  <si>
    <t>snd10009</t>
  </si>
  <si>
    <t>snd10010</t>
  </si>
  <si>
    <t>snd10011</t>
  </si>
  <si>
    <t>snd10013</t>
  </si>
  <si>
    <t>snd10014</t>
  </si>
  <si>
    <t>snd10015</t>
  </si>
  <si>
    <t>snd10016</t>
  </si>
  <si>
    <t>snd10017</t>
  </si>
  <si>
    <t>snd10018</t>
  </si>
  <si>
    <t>snd10019</t>
  </si>
  <si>
    <t>snd10020</t>
  </si>
  <si>
    <t>snd10021</t>
  </si>
  <si>
    <t>snd10022</t>
  </si>
  <si>
    <t>snd10023</t>
  </si>
  <si>
    <t>snd10024</t>
  </si>
  <si>
    <t>snd10025</t>
  </si>
  <si>
    <t>snd10027</t>
  </si>
  <si>
    <t>snd10028</t>
  </si>
  <si>
    <t>snd10030</t>
  </si>
  <si>
    <t>snd10031</t>
  </si>
  <si>
    <t>snd10032</t>
  </si>
  <si>
    <t>snd10033</t>
  </si>
  <si>
    <t>snd10036</t>
  </si>
  <si>
    <t>snd10038</t>
  </si>
  <si>
    <t>snd10040</t>
  </si>
  <si>
    <t>snd10041</t>
  </si>
  <si>
    <t>snd10048</t>
  </si>
  <si>
    <t>snd10055</t>
  </si>
  <si>
    <t>snd10057</t>
  </si>
  <si>
    <t>snd10058</t>
  </si>
  <si>
    <t>snd10059</t>
  </si>
  <si>
    <t>snd10060</t>
  </si>
  <si>
    <t>snd10061</t>
  </si>
  <si>
    <t>snd10062</t>
  </si>
  <si>
    <t>snd10063</t>
  </si>
  <si>
    <t>snd10064</t>
  </si>
  <si>
    <t>snd10065</t>
  </si>
  <si>
    <t>snd10066</t>
  </si>
  <si>
    <t>snd10067</t>
  </si>
  <si>
    <t>snd10068</t>
  </si>
  <si>
    <t>snd10069</t>
  </si>
  <si>
    <t>snd10070</t>
  </si>
  <si>
    <t>snd10071</t>
  </si>
  <si>
    <t>snd10072</t>
  </si>
  <si>
    <t>snd10074</t>
  </si>
  <si>
    <t>snd10082</t>
  </si>
  <si>
    <t>snd10085</t>
  </si>
  <si>
    <t>snd10092</t>
  </si>
  <si>
    <t>snd10093</t>
  </si>
  <si>
    <t>snd10094</t>
  </si>
  <si>
    <t>snd10095</t>
  </si>
  <si>
    <t>snd10098</t>
  </si>
  <si>
    <t>snd10101</t>
  </si>
  <si>
    <t>snd10103</t>
  </si>
  <si>
    <t>snd10104</t>
  </si>
  <si>
    <t>snd10105</t>
  </si>
  <si>
    <t>snd10106</t>
  </si>
  <si>
    <t>snd10111</t>
  </si>
  <si>
    <t>snd10112</t>
  </si>
  <si>
    <t>snd10117</t>
  </si>
  <si>
    <t>snd10126</t>
  </si>
  <si>
    <t>snd10127</t>
  </si>
  <si>
    <t>snd10139</t>
  </si>
  <si>
    <t>https://dss.niagads.org/sample-sets/snd10000/</t>
  </si>
  <si>
    <t>https://dss.niagads.org/sample-sets/snd10001/</t>
  </si>
  <si>
    <t>https://dss.niagads.org/sample-sets/snd10002/</t>
  </si>
  <si>
    <t>https://dss.niagads.org/sample-sets/snd10003/</t>
  </si>
  <si>
    <t>https://dss.niagads.org/sample-sets/snd10004/</t>
  </si>
  <si>
    <t>https://dss.niagads.org/sample-sets/snd10005/</t>
  </si>
  <si>
    <t>https://dss.niagads.org/sample-sets/snd10006/</t>
  </si>
  <si>
    <t>https://dss.niagads.org/sample-sets/snd10007/</t>
  </si>
  <si>
    <t>https://dss.niagads.org/sample-sets/snd10008/</t>
  </si>
  <si>
    <t>https://dss.niagads.org/sample-sets/snd10009/</t>
  </si>
  <si>
    <t>https://dss.niagads.org/sample-sets/snd10010/</t>
  </si>
  <si>
    <t>https://dss.niagads.org/sample-sets/snd10011/</t>
  </si>
  <si>
    <t>https://dss.niagads.org/sample-sets/snd10013/</t>
  </si>
  <si>
    <t>https://dss.niagads.org/sample-sets/snd10014/</t>
  </si>
  <si>
    <t>https://dss.niagads.org/sample-sets/snd10015/</t>
  </si>
  <si>
    <t>https://dss.niagads.org/sample-sets/snd10016/</t>
  </si>
  <si>
    <t>https://dss.niagads.org/sample-sets/snd10017/</t>
  </si>
  <si>
    <t>https://dss.niagads.org/sample-sets/snd10018/</t>
  </si>
  <si>
    <t>https://dss.niagads.org/sample-sets/snd10019/</t>
  </si>
  <si>
    <t>https://dss.niagads.org/sample-sets/snd10020/</t>
  </si>
  <si>
    <t>https://dss.niagads.org/sample-sets/snd10022/</t>
  </si>
  <si>
    <t>https://dss.niagads.org/sample-sets/snd10023/</t>
  </si>
  <si>
    <t>AD Case</t>
  </si>
  <si>
    <t>AD Control</t>
  </si>
  <si>
    <t xml:space="preserve">Other </t>
  </si>
  <si>
    <t xml:space="preserve">NA  </t>
  </si>
  <si>
    <t>Nº samples4</t>
  </si>
  <si>
    <t>https://dss.niagads.org/sample-sets/snd10027/</t>
  </si>
  <si>
    <t>https://dss.niagads.org/sample-sets/snd10028/</t>
  </si>
  <si>
    <t>https://dss.niagads.org/sample-sets/snd10030/</t>
  </si>
  <si>
    <t>https://dss.niagads.org/sample-sets/snd10031/</t>
  </si>
  <si>
    <t>https://dss.niagads.org/sample-sets/snd10032/</t>
  </si>
  <si>
    <t>0% (1)</t>
  </si>
  <si>
    <t>Nº Samples</t>
  </si>
  <si>
    <t>BAM</t>
  </si>
  <si>
    <t>https://dss.niagads.org/sample-sets/snd10082/</t>
  </si>
  <si>
    <t>https://dss.niagads.org/sample-sets/snd10085/</t>
  </si>
  <si>
    <t>https://dss.niagads.org/sample-sets/snd10092/</t>
  </si>
  <si>
    <t>https://dss.niagads.org/sample-sets/snd10093/</t>
  </si>
  <si>
    <t>https://dss.niagads.org/sample-sets/snd10094/</t>
  </si>
  <si>
    <t>https://dss.niagads.org/sample-sets/snd10095/</t>
  </si>
  <si>
    <t>https://dss.niagads.org/sample-sets/snd10098/</t>
  </si>
  <si>
    <t>https://dss.niagads.org/sample-sets/snd10101/</t>
  </si>
  <si>
    <t>https://dss.niagads.org/sample-sets/snd10103/</t>
  </si>
  <si>
    <t>https://dss.niagads.org/sample-sets/snd10104/</t>
  </si>
  <si>
    <t>https://dss.niagads.org/sample-sets/snd10105/</t>
  </si>
  <si>
    <t>https://dss.niagads.org/sample-sets/snd10106/</t>
  </si>
  <si>
    <t>AD Other</t>
  </si>
  <si>
    <t>AD Unknown</t>
  </si>
  <si>
    <t>NA Unknown</t>
  </si>
  <si>
    <t>Data types</t>
  </si>
  <si>
    <t>Variant calls</t>
  </si>
  <si>
    <t>https://dss.niagads.org/sample-sets/snd10139/</t>
  </si>
  <si>
    <t>CNV calls</t>
  </si>
  <si>
    <t>https://dss.niagads.org/sample-sets/snd10033/</t>
  </si>
  <si>
    <t>https://dss.niagads.org/sample-sets/snd10036/</t>
  </si>
  <si>
    <t>PSP Case</t>
  </si>
  <si>
    <t>Raw reads</t>
  </si>
  <si>
    <t>Aligned reads</t>
  </si>
  <si>
    <t>https://dss.niagads.org/sample-sets/snd10055/</t>
  </si>
  <si>
    <t>https://dss.niagads.org/sample-sets/snd10065/</t>
  </si>
  <si>
    <t>https://dss.niagads.org/sample-sets/snd10066/</t>
  </si>
  <si>
    <t>https://dss.niagads.org/sample-sets/snd10067/</t>
  </si>
  <si>
    <t>https://dss.niagads.org/sample-sets/snd10068/</t>
  </si>
  <si>
    <t>https://dss.niagads.org/sample-sets/snd10069/</t>
  </si>
  <si>
    <t>https://dss.niagads.org/sample-sets/snd10070/</t>
  </si>
  <si>
    <t>https://dss.niagads.org/sample-sets/snd10071/</t>
  </si>
  <si>
    <t>https://dss.niagads.org/sample-sets/snd10072/</t>
  </si>
  <si>
    <t>CBD Case</t>
  </si>
  <si>
    <t>SVs</t>
  </si>
  <si>
    <t>Structural variants</t>
  </si>
  <si>
    <t>Target capture kit</t>
  </si>
  <si>
    <t>Roche Nimblegen’s VCRome v2.1</t>
  </si>
  <si>
    <t>BAM &amp; FASTQ</t>
  </si>
  <si>
    <t>Aligned reads &amp; Raw reads</t>
  </si>
  <si>
    <t>Agilent WES v5</t>
  </si>
  <si>
    <t>Agilent WES v6</t>
  </si>
  <si>
    <t>https://dss.niagads.org/sample-sets/snd10117/</t>
  </si>
  <si>
    <t>https://dss.niagads.org/sample-sets/snd10126/</t>
  </si>
  <si>
    <t>https://dss.niagads.org/sample-sets/snd10127/</t>
  </si>
  <si>
    <t>https://dss.niagads.org/sample-sets/snd10038/</t>
  </si>
  <si>
    <t>https://dss.niagads.org/sample-sets/snd10040/</t>
  </si>
  <si>
    <t>0,00% (4)</t>
  </si>
  <si>
    <t>FASTQ &amp; CRAM</t>
  </si>
  <si>
    <t>Raw reads &amp; Aligned reads</t>
  </si>
  <si>
    <t>Agilent WES v3 and v4</t>
  </si>
  <si>
    <t>PSP Control</t>
  </si>
  <si>
    <t>Agilent WES v5; Nimblegen VCRome sequencing w/Custom Spike-In Baits &amp; Roche Nimblegen’s VCRome v2.1</t>
  </si>
  <si>
    <t>Roche SeqCap EZ Exome Probes v2.0</t>
  </si>
  <si>
    <t>0.5%</t>
  </si>
  <si>
    <t>SNP genotypes</t>
  </si>
  <si>
    <t>SNP genotypes (733 202 markers)</t>
  </si>
  <si>
    <t>SNP (GWAS)</t>
  </si>
  <si>
    <t>Imputed SNP genotypes (5 815 690 markers)</t>
  </si>
  <si>
    <t>Neurological and Psychiatric Brain Disorders Case</t>
  </si>
  <si>
    <t>Neurological and Psychiatric Brain Disorders Control</t>
  </si>
  <si>
    <t>255 (microglia samples)</t>
  </si>
  <si>
    <t>RNA-seq (microglia)</t>
  </si>
  <si>
    <t>Gene expression</t>
  </si>
  <si>
    <t>RNA-seq (microglia, stimulated)</t>
  </si>
  <si>
    <t>WGS/ WES</t>
  </si>
  <si>
    <t>Roche SeqCap EZ Exome Probes v3.0</t>
  </si>
  <si>
    <t>https://dss.niagads.org/studies/sa000057/</t>
  </si>
  <si>
    <t>CRAM</t>
  </si>
  <si>
    <t>csv</t>
  </si>
  <si>
    <t>SNP assay/ PCR (HTTLPR)</t>
  </si>
  <si>
    <t>TaqMan allelic discrimination SNP assay</t>
  </si>
  <si>
    <t>APOE genotypes &amp; HTTLPR calls</t>
  </si>
  <si>
    <t>DNA  methylation (836 660 methylation probes)</t>
  </si>
  <si>
    <t>IDT xGen Exome Whole Exome Research Panel v1.0 w/Custom Spike-In Baits &amp; Nimblegen VCRome sequencing w/Custom Spike-In Baits</t>
  </si>
  <si>
    <t>ADRD* Control</t>
  </si>
  <si>
    <t>ADRD* Case</t>
  </si>
  <si>
    <t>ADRD* Other</t>
  </si>
  <si>
    <t>* ADRD - Alzheimer's Disease and Related Dementias</t>
  </si>
  <si>
    <t>Metabolon Precision Metabolomics platform</t>
  </si>
  <si>
    <t>High-throughput metabolomic and lipidomic (880 analytes)</t>
  </si>
  <si>
    <t>DLB Case</t>
  </si>
  <si>
    <t>FTD Case</t>
  </si>
  <si>
    <t>PD Case</t>
  </si>
  <si>
    <t>Other - Other</t>
  </si>
  <si>
    <t>Other Case</t>
  </si>
  <si>
    <t>0,0% (1)</t>
  </si>
  <si>
    <t>Infinium CoreExome-24; Infinium Neuro Consortium Array; Infinium Global Screening Array-24; Infinium OmniExpress-24; Illumina Human660W-Quad, Human610-Quad; Illumina Omni1-Quad; Affy UK Biobank Axiom; Infinium OmniExpressExome-8; Illumina Human1M-Duo</t>
  </si>
  <si>
    <t>Covid-19 Case</t>
  </si>
  <si>
    <t>Covid-19 Control</t>
  </si>
  <si>
    <t>Illumina NovaSeq 6000 &amp; Illumina HiSeq 2500</t>
  </si>
  <si>
    <t>Illumina NovaSeq 6000</t>
  </si>
  <si>
    <t>Illumina HiSeqX</t>
  </si>
  <si>
    <t>Illumina NovaSeq machine</t>
  </si>
  <si>
    <t>Illumina NovaSeq</t>
  </si>
  <si>
    <t xml:space="preserve">Illumina HiSeqX </t>
  </si>
  <si>
    <t>Illumina HiSeqX platform</t>
  </si>
  <si>
    <t>RNA-seq</t>
  </si>
  <si>
    <t>FASTQ &amp; normalized counts matrices</t>
  </si>
  <si>
    <t>Raw reads and normalized gene counts</t>
  </si>
  <si>
    <t>FASTQ &amp; BAM</t>
  </si>
  <si>
    <t>Illumina NovaSeq and Illumina HiSeq 2500 platform</t>
  </si>
  <si>
    <t>Illumina HiSeqX &amp; Illumina platforms</t>
  </si>
  <si>
    <t>SNP array (GWAS)</t>
  </si>
  <si>
    <t>Imputed SNP genotypes (6 015 512 markers)</t>
  </si>
  <si>
    <t>Dementia Case</t>
  </si>
  <si>
    <t>Dementia Control</t>
  </si>
  <si>
    <t>Small RNA expression</t>
  </si>
  <si>
    <t>small-RNA seq</t>
  </si>
  <si>
    <t>Small RNA expression (plasma)</t>
  </si>
  <si>
    <t>Illumina HiSeq2000 machine</t>
  </si>
  <si>
    <t>SNP genotypes (657 366 markers)</t>
  </si>
  <si>
    <t>Illumina Human660W-Quad_v1_A</t>
  </si>
  <si>
    <t>SNP genotypes (730 525 markers)</t>
  </si>
  <si>
    <t>Illumina HumanOmniExpress-12v1_H</t>
  </si>
  <si>
    <t>Illumina Infinium HumanOmniExpressExome-8v1-2_a</t>
  </si>
  <si>
    <t>SNP genotypes (964 193 markers - 273 246 exonic &amp; ~690 000 genome-wide)</t>
  </si>
  <si>
    <t>Illumina Human OmniExpressExome</t>
  </si>
  <si>
    <t>SNP genotypes (700 078 markers)</t>
  </si>
  <si>
    <t>Illumina Infinium GSAMD-24v1-0_20011747_A1</t>
  </si>
  <si>
    <t>SNP genotypes (759 993 markers)</t>
  </si>
  <si>
    <t>Illumina Infinium GSAMD-24v2-0_20024620_A1</t>
  </si>
  <si>
    <t>Illumina Infinium GSA-24v3-0_A1</t>
  </si>
  <si>
    <t>SNP genotypes (654 027 markers)</t>
  </si>
  <si>
    <t>SNP genotypes (759 993markers)</t>
  </si>
  <si>
    <t>Illumina HiSeq X Tem with 150 bp paired‑end reads</t>
  </si>
  <si>
    <t>Illumina HiSeq 2000 platform with 100bp paired-end reads</t>
  </si>
  <si>
    <t>Illumina HiSeq3000 machine</t>
  </si>
  <si>
    <t>Illumina HiSeq2000/2500 machine</t>
  </si>
  <si>
    <t>Illumina HiSeq4000</t>
  </si>
  <si>
    <t>Illumina HiSeq2500 machine</t>
  </si>
  <si>
    <t>Illumina HiSeq2000/2500</t>
  </si>
  <si>
    <t>Illumina HiSeqX machine</t>
  </si>
  <si>
    <t>Illumina HiSeqX &amp; Illumina HiSeq2000/2500 machine</t>
  </si>
  <si>
    <t>Illumina HiSeqX or Illumina NovaSeq machine</t>
  </si>
  <si>
    <t>Illumina Infinium Global Screening Array-24 v2.0</t>
  </si>
  <si>
    <t>Illumina Infinium MethylationEPIC</t>
  </si>
  <si>
    <t>Illumina HumanOmni2.5-arrays</t>
  </si>
  <si>
    <t>Illumina Novaseq machine</t>
  </si>
  <si>
    <t>Illumina HiSeqX and Illumina NovaSeq machine</t>
  </si>
  <si>
    <t>Illumina HiSeqX sequencer (v2.5 chemistry)</t>
  </si>
  <si>
    <t>Illumina Infinium MethylationEPIC v1.0</t>
  </si>
  <si>
    <t>Illumina HumanOmniExpress-12v1_A</t>
  </si>
  <si>
    <t>10X genomics 3’ Chemistry v3</t>
  </si>
  <si>
    <t>snRNA-seq</t>
  </si>
  <si>
    <t>RNA sequencing</t>
  </si>
  <si>
    <t>Small RNA sequencing</t>
  </si>
  <si>
    <t>https://dss.niagads.org/datasets/ng00023/</t>
  </si>
  <si>
    <t>https://dss.niagads.org/datasets/ng00024/</t>
  </si>
  <si>
    <t>https://dss.niagads.org/datasets/ng00035/</t>
  </si>
  <si>
    <t>https://dss.niagads.org/datasets/ng00068/</t>
  </si>
  <si>
    <t>https://dss.niagads.org/datasets/ng00069/</t>
  </si>
  <si>
    <t>https://dss.niagads.org/datasets/ng00070/</t>
  </si>
  <si>
    <t>https://dss.niagads.org/datasets/ng00071/</t>
  </si>
  <si>
    <t>https://dss.niagads.org/datasets/ng00102/</t>
  </si>
  <si>
    <t>https://dss.niagads.org/datasets/ng00105/</t>
  </si>
  <si>
    <t>https://dss.niagads.org/datasets/ng00106/</t>
  </si>
  <si>
    <t>https://dss.niagads.org/datasets/ng00108/</t>
  </si>
  <si>
    <t>https://dss.niagads.org/datasets/ng00113/</t>
  </si>
  <si>
    <t>https://dss.niagads.org/datasets/ng00114/</t>
  </si>
  <si>
    <t>https://dss.niagads.org/datasets/ng00116/</t>
  </si>
  <si>
    <t>https://dss.niagads.org/datasets/ng00118/</t>
  </si>
  <si>
    <t>https://dss.niagads.org/datasets/ng00119/</t>
  </si>
  <si>
    <t>https://dss.niagads.org/datasets/ng00127/</t>
  </si>
  <si>
    <t>https://dss.niagads.org/datasets/ng00128/</t>
  </si>
  <si>
    <t>https://dss.niagads.org/datasets/ng00132/</t>
  </si>
  <si>
    <t>https://dss.niagads.org/datasets/ng00136/</t>
  </si>
  <si>
    <t>https://dss.niagads.org/datasets/ng00137/</t>
  </si>
  <si>
    <t>https://dss.niagads.org/datasets/ng00138/</t>
  </si>
  <si>
    <t>Illumina Infinium HD Human660W-Quad_v1_A</t>
  </si>
  <si>
    <t>https://dss.niagads.org/datasets/ng00139/</t>
  </si>
  <si>
    <t>Reference panel</t>
  </si>
  <si>
    <t>HapMap r22 (build 36)</t>
  </si>
  <si>
    <t>Imputed SNP genotypes (5 815 690 markers) and phenotypes</t>
  </si>
  <si>
    <t>SNP genotypes (730 525 markers); Imputed data &amp; phenotypes</t>
  </si>
  <si>
    <t>SNP genotypes (426 031 markers)</t>
  </si>
  <si>
    <t>Affymetrix 500K set - Mapping250K_Nsp &amp; Mapping250K_Sty</t>
  </si>
  <si>
    <t xml:space="preserve">Nº samples  </t>
  </si>
  <si>
    <t>Temporarily unavailable</t>
  </si>
  <si>
    <t>Page not found</t>
  </si>
  <si>
    <t>SNP genotypes (7 700 000 markers)</t>
  </si>
  <si>
    <t>Axiom 815K Spamish Biobank Array  (Thermo Fisher)</t>
  </si>
  <si>
    <t>ε4% Controls</t>
  </si>
  <si>
    <t xml:space="preserve"> ε4% AD Cases</t>
  </si>
  <si>
    <t>SNP genotypes (166 588 markers)</t>
  </si>
  <si>
    <t>Affymetrix Nsp I 250 K chip</t>
  </si>
  <si>
    <t>Illumina Human Omni Express-24 v.1.2</t>
  </si>
  <si>
    <t>MCI Case</t>
  </si>
  <si>
    <t>9 751*</t>
  </si>
  <si>
    <t>SNP genotypes (9 155 276 markers)</t>
  </si>
  <si>
    <t>100% (Caucasian)</t>
  </si>
  <si>
    <t>https://doi.org/10.1038/s41598-018-36429-6</t>
  </si>
  <si>
    <t>https://doi.org/10.1186/1471-2164-11-326</t>
  </si>
  <si>
    <t>https://doi.org/10.1016/j.jalz.2019.06.4950</t>
  </si>
  <si>
    <t>ThermoFisher Axiom custom chip array (v1 and v2)</t>
  </si>
  <si>
    <t>SNP genotypes (664 510 genetic markers (v2) / 657 675 markers (v1))</t>
  </si>
  <si>
    <t>SNP/ WGS/ WES</t>
  </si>
  <si>
    <t>SNP (primary data)/ WES (~25 000 subjects)/ WGS (~6 000 subjects)</t>
  </si>
  <si>
    <t>BED, BIM, FAM, BGEN, BGI / CRAM and gVCF / CRAM, gVCF, pVCF and PLINK</t>
  </si>
  <si>
    <t>SNP genotypes (805 426 markers)</t>
  </si>
  <si>
    <t>IDT xGen Exome Research Panel v1.0</t>
  </si>
  <si>
    <t>Affymetrix UK BiLEVE Axiom array and UK Biobank Axiom array (SNP array) / Illumina NovaSeq (WGS and WES)</t>
  </si>
  <si>
    <t>SNP/ WES/ Sanger sequencing</t>
  </si>
  <si>
    <t>332*</t>
  </si>
  <si>
    <t>* Data from September 2018 (On-going study)</t>
  </si>
  <si>
    <t>Illumina Global Screening Array (GSA)</t>
  </si>
  <si>
    <t>1 230 (SNP array)/ 835* (WES)</t>
  </si>
  <si>
    <t>1 474 (SNP array)/ 209*(WES)</t>
  </si>
  <si>
    <t>SNP/ WES</t>
  </si>
  <si>
    <t>https://eadb.eu/data/</t>
  </si>
  <si>
    <t>1 151 (SNP array)/ 1 000* (WES)</t>
  </si>
  <si>
    <t>1 806 (SNP array)/ 250*(WES)</t>
  </si>
  <si>
    <t>2 957 (SNP array) / 1 250 (WES)</t>
  </si>
  <si>
    <t>2 704 (SNP array) / 1 044 (WES)</t>
  </si>
  <si>
    <t>Illumina Global Screening Array (GSA) (SNP array)</t>
  </si>
  <si>
    <t>1 664 (SNP array)/ 2 324* (WES)</t>
  </si>
  <si>
    <t>3 106 (SNP array)/ 1 256*(WES)</t>
  </si>
  <si>
    <t>4 770 (SNP array) / 3 580 (WES)</t>
  </si>
  <si>
    <t>* available (474 AD cases on-going)</t>
  </si>
  <si>
    <t>* on-going</t>
  </si>
  <si>
    <t>3 271 (SNP array)/ 654* (WES)</t>
  </si>
  <si>
    <t>1 317 (SNP array)/ 95*(WES)</t>
  </si>
  <si>
    <t>4 588 (SNP array) / 749 (WES)</t>
  </si>
  <si>
    <t>80 (SNP array)/ 148* (WES)</t>
  </si>
  <si>
    <t>74 (SNP array)/ 37*(WES)</t>
  </si>
  <si>
    <t>154 (SNP array) / 185 (WES)</t>
  </si>
  <si>
    <t>3 273 (SNP array)/ 50* (WES)</t>
  </si>
  <si>
    <t>1 685 (SNP array)/ 9*(WES)</t>
  </si>
  <si>
    <t>* available (894 AD cases and 519 controls on-going)</t>
  </si>
  <si>
    <t>* available (579 AD cases and 145 controls on-going)</t>
  </si>
  <si>
    <t>4 958 (SNP array) / 59 (WES)</t>
  </si>
  <si>
    <t>1 533 (SNP array)/ 189* (WES)</t>
  </si>
  <si>
    <t>3 089 (SNP array)/ 48*(WES)</t>
  </si>
  <si>
    <t>4 622 (SNP array) / 237 (WES)</t>
  </si>
  <si>
    <t>182 (SNP array)/ 10* (WES)</t>
  </si>
  <si>
    <t>388 (SNP array)/ 3*(WES)</t>
  </si>
  <si>
    <t>570 (SNP array) / 13 (WES)</t>
  </si>
  <si>
    <t>2 487 (SNP array)/ 3 970* (WES)</t>
  </si>
  <si>
    <t>2 500 (SNP array)/ 942*(WES)</t>
  </si>
  <si>
    <t>4 987 (SNP array) / 4 912 (WES)</t>
  </si>
  <si>
    <t>https://journals.sagepub.com/doi/full/10.3233/JAD-200948</t>
  </si>
  <si>
    <t xml:space="preserve"> Illumina Human Hap610-Quad Beadchip (batch 1) and Illumina HumanOmniExpress-12 v1.0 (batches 2 and 3)</t>
  </si>
  <si>
    <t>SNP genotypes ( 789 470 markers)</t>
  </si>
  <si>
    <t>TaqMan® SNP Genotyping Assay  (ThermoFisher Scientific)</t>
  </si>
  <si>
    <t>SCD Case</t>
  </si>
  <si>
    <t>ε4% (SCD) = 32,5% / ε4% (MCI) = 36,7% / ε4% (AD other) = 42,1%</t>
  </si>
  <si>
    <t>https://link.springer.com/article/10.1186/s13195-017-0314-2</t>
  </si>
  <si>
    <t>Affymetrix Genome-Wide Human SNP Array 6.0</t>
  </si>
  <si>
    <t>SNP/ WGS</t>
  </si>
  <si>
    <t>TOPMed</t>
  </si>
  <si>
    <t>SNP genotypes (358 964 markers)</t>
  </si>
  <si>
    <t>https://doi.org/10.1016/j.xgen.2022.100193</t>
  </si>
  <si>
    <t>~300 000</t>
  </si>
  <si>
    <t xml:space="preserve"> 88 615 (SNP array) / 2 201 (WGS)</t>
  </si>
  <si>
    <t>123 219 (SNP array) / 2 201 (WGS)</t>
  </si>
  <si>
    <t>Illumina HumanCoreExome 12 (v1.0 and v1.1) and UM HUNT Biobank (v1.0 and v2.0)</t>
  </si>
  <si>
    <t>https://doi.org/10.3233/jad-2011-091402</t>
  </si>
  <si>
    <t>SNP genotypes (537 029 markers)</t>
  </si>
  <si>
    <t>https://doi.org/10.1016/j.jalz.2011.05.200</t>
  </si>
  <si>
    <t>https://link.springer.com/article/10.1007/s10654-018-0459-8</t>
  </si>
  <si>
    <t>Illumina Neuro Consortium Array (neurox2)</t>
  </si>
  <si>
    <t>~ 16 000</t>
  </si>
  <si>
    <t xml:space="preserve">81 * </t>
  </si>
  <si>
    <t>* Diagnosed with mild cognitive impairment or dementia due to Alzheimer’s disease</t>
  </si>
  <si>
    <t>https://www.biocard-se.org/public/Study%20Procedures.html</t>
  </si>
  <si>
    <t>https://dss.niagads.org/datasets/ng00140/</t>
  </si>
  <si>
    <t>https://dss.niagads.org/datasets/ng00142/</t>
  </si>
  <si>
    <t>https://dss.niagads.org/datasets/ng00149/</t>
  </si>
  <si>
    <t>https://dss.niagads.org/datasets/ng00150/</t>
  </si>
  <si>
    <t>https://dss.niagads.org/datasets/ng00151/</t>
  </si>
  <si>
    <t>https://dss.niagads.org/datasets/ng00153/</t>
  </si>
  <si>
    <t>PLINK &amp; VCF</t>
  </si>
  <si>
    <t>10X genomics 3’ Chemistry v3 (10,000 nuclei per donor, 50,000 reads per nuclei)</t>
  </si>
  <si>
    <t>836 660 methylation probes</t>
  </si>
  <si>
    <t>Illumina Infinium Global Screening Array (GSA-24v3-0_A1)</t>
  </si>
  <si>
    <t>Illumina Infinium Global Screening Array (GSAMD-24v2-0_20024620_A1)</t>
  </si>
  <si>
    <t>Illumina NovaSeq 6000 &amp; HiSeq 2500</t>
  </si>
  <si>
    <t>Illumina Infinium Global Screening Array (GSAMD-24v1-0_20011747_A1)</t>
  </si>
  <si>
    <t>CSV</t>
  </si>
  <si>
    <t>Illumina Infinium CoreExome-24, Infinium Neuro Consortium Array, Infinium Global Screening Array-24, Infinium OmniExpress-24, Illumina Human660W-Quad, Human610-Quad, Illumina Omni1-Quad, Affy UK Biobank Axiom, Infinium OmniExpressExome-8, and Illumina Human1M-Duo</t>
  </si>
  <si>
    <t xml:space="preserve"> 1000 Genomes &amp; Haplotype Reference Consortium (HRC)</t>
  </si>
  <si>
    <t>Imputed SNP genotypes (6 015 512 markers) and phenotypes</t>
  </si>
  <si>
    <t>850 000 CpG and non-CpG sites, open chromatin, enhancers, DNase hypersensitive sites and promoters</t>
  </si>
  <si>
    <t>https://dss.niagads.org/datasets/ng00167/</t>
  </si>
  <si>
    <t>https://dss.niagads.org/datasets/ng00168/</t>
  </si>
  <si>
    <t>https://dss.niagads.org/datasets/ng00171/</t>
  </si>
  <si>
    <t>https://dss.niagads.org/datasets/ng00176/</t>
  </si>
  <si>
    <t>x (Caucasian)</t>
  </si>
  <si>
    <t>Illumina Rapid Capture Exome (ICE) &amp; Roche Nimblegen’s VCRome v2.1</t>
  </si>
  <si>
    <t>https://dss.niagads.org/datasets/ng00050/</t>
  </si>
  <si>
    <t xml:space="preserve">Genotyping Platform  </t>
  </si>
  <si>
    <t xml:space="preserve">1000 Genome </t>
  </si>
  <si>
    <t xml:space="preserve">1000Genome (phase 3 v5) &amp; TOPMed </t>
  </si>
  <si>
    <t>1000Genome (Phase3 v5)*</t>
  </si>
  <si>
    <t>SNP genotypes (657 366 markers); Imputed data &amp; phenotypes</t>
  </si>
  <si>
    <t>SNP genotypes (733 202 markers); Imputed data &amp; phenotypes</t>
  </si>
  <si>
    <t>SNP genotypes (964 193 markers); Imputed data &amp; phenotypes</t>
  </si>
  <si>
    <t>Proteomics and protein annotations</t>
  </si>
  <si>
    <t>1000Genome (Phase3 v5)</t>
  </si>
  <si>
    <t>SNP array/ RNA sequencing</t>
  </si>
  <si>
    <t>Illumina Infinium Global Screening Array (SNP array)/ Illumina HiSeq 2500 (RNA sequencing)</t>
  </si>
  <si>
    <t>RNeasy Mini kit (Qiagen) (RNA isolation)</t>
  </si>
  <si>
    <t>108 (MiGA) &amp; 89 (MiGASTi)</t>
  </si>
  <si>
    <t>345 (MiGA) &amp; 533 (MiGASTi)</t>
  </si>
  <si>
    <t>SNP genotypes; Imputed data &amp; phenotypes</t>
  </si>
  <si>
    <t>Microglia expression profiles (11 166 microglia nuclei)</t>
  </si>
  <si>
    <t>Camouflaged Variants</t>
  </si>
  <si>
    <t>3,191 SV-eQTL, 2,866 SV-sQTL, 399 SV-pQTL, and 1,454 SV-haQTL</t>
  </si>
  <si>
    <t>SNP genotypes; Imputed data</t>
  </si>
  <si>
    <t>SNP genotypes &amp; phenotypes</t>
  </si>
  <si>
    <t>Proteomic &amp; phenotypes</t>
  </si>
  <si>
    <t>TaqMan allelic discrimination SNP assay (APOE genotypes)</t>
  </si>
  <si>
    <t>SNP assay</t>
  </si>
  <si>
    <t xml:space="preserve"> APOE genotypes and HTTLPR calls</t>
  </si>
  <si>
    <t>SNP genotypes (700 078 markers); Imputed data &amp; phenotypes</t>
  </si>
  <si>
    <t>SNP genotypes (759 993 markers); Imputed data &amp; phenotypes</t>
  </si>
  <si>
    <t>Plasma Cell-Free RNA Transcriptomics</t>
  </si>
  <si>
    <t>Raw sRNA sequencing data &amp; phenotypes</t>
  </si>
  <si>
    <t>CNVs</t>
  </si>
  <si>
    <t>FIRST AUTHOR</t>
  </si>
  <si>
    <t>Year of publication</t>
  </si>
  <si>
    <t>Title</t>
  </si>
  <si>
    <t>Studies where the data comes from</t>
  </si>
  <si>
    <t>N - AD</t>
  </si>
  <si>
    <t>N - Controls</t>
  </si>
  <si>
    <t>Grupe</t>
  </si>
  <si>
    <t>Evidence for novel susceptibility genes for late-onset Alzheimer’s disease from a genome-wide association study of putative functional variants.</t>
  </si>
  <si>
    <t>UK1</t>
  </si>
  <si>
    <t>UK2</t>
  </si>
  <si>
    <t>UK3</t>
  </si>
  <si>
    <t>WU</t>
  </si>
  <si>
    <t>SD</t>
  </si>
  <si>
    <t>TOTAL</t>
  </si>
  <si>
    <t>Bertram</t>
  </si>
  <si>
    <t>Genome-wide association analysis reveals putative Alzheimer's disease susceptibility loci in addition to APOE.</t>
  </si>
  <si>
    <t>Harold</t>
  </si>
  <si>
    <t>Genome-wide association study identifies variants at CLU and PICALM associated with Alzheimer’s disease.</t>
  </si>
  <si>
    <t>GERAD</t>
  </si>
  <si>
    <t>CORIELL</t>
  </si>
  <si>
    <t>ALS</t>
  </si>
  <si>
    <t>MAYO/RMAYO</t>
  </si>
  <si>
    <t>Lambert</t>
  </si>
  <si>
    <t>Genome-wide association study identifies variants at CLU and CR1 asssociated with Alzheimer's disease</t>
  </si>
  <si>
    <t>French AD cases</t>
  </si>
  <si>
    <t>French Three-City </t>
  </si>
  <si>
    <t>Naj</t>
  </si>
  <si>
    <t>Dementia revealed: novel chromosome 6 locus for late-onset Alzheimer disease provides genetic evidence for folate-pathway abnormalities.</t>
  </si>
  <si>
    <t>Seshadri</t>
  </si>
  <si>
    <t xml:space="preserve">Genome-wide analysis of genetic loci associated with Alzheimer disease. </t>
  </si>
  <si>
    <t>TGEN</t>
  </si>
  <si>
    <t>Feulner</t>
  </si>
  <si>
    <t xml:space="preserve">Examination of the current top candidate genes for AD in a genome-wide </t>
  </si>
  <si>
    <t>German AD cases</t>
  </si>
  <si>
    <t>PopGen biobank</t>
  </si>
  <si>
    <t>Logue</t>
  </si>
  <si>
    <t>A comprehensive genetic association study of Alzheimer disease in African Americans.</t>
  </si>
  <si>
    <t>Wijsman</t>
  </si>
  <si>
    <t>Genome-wide association of familial late-onset Alzheimer’s disease replicates BIN1 and CLU and nominates CUGBP2 in interaction with APOE.</t>
  </si>
  <si>
    <t>Hollingworth</t>
  </si>
  <si>
    <t>Common variants at ABCA7, MS4A6A/MS4A4E, EPHA1, CD33 and CD2AP are associated with Alzheimer’s disease.</t>
  </si>
  <si>
    <t>Kamboh</t>
  </si>
  <si>
    <t>Genome-wide association study of Alzheimer’s disease.</t>
  </si>
  <si>
    <t>Lee</t>
  </si>
  <si>
    <t>Alzheimer disease and replication of CLU, PICALM, and BIN1 in Caribbean Hispanic individuals.</t>
  </si>
  <si>
    <t>Meta-analysis of 74,046 individuals identifies 11 new susceptibility loci for Alzheimer's disease.</t>
  </si>
  <si>
    <t>ADC1-10</t>
  </si>
  <si>
    <t>GERAD/PERADES</t>
  </si>
  <si>
    <t>Sherva</t>
  </si>
  <si>
    <t>Genome-wide association study of the rate of cognitive decline in Alzheimer's disease.</t>
  </si>
  <si>
    <t>Genome-wide haplotype association study identifies the FRMD4A gene as a risk locus for Alzheimer's disease.</t>
  </si>
  <si>
    <t>Jonsson</t>
  </si>
  <si>
    <t>Variant of TREM2 associated with the risk of Alzheimer's disease.</t>
  </si>
  <si>
    <t>Icelandics</t>
  </si>
  <si>
    <t>Jun</t>
  </si>
  <si>
    <t>PLXNA4 is associated with Alzheimer disease and modulates tau phosphorylation.</t>
  </si>
  <si>
    <t>Floudas</t>
  </si>
  <si>
    <t>Identifying genetic interactions associated with late-onset Alzheimer’s disease.</t>
  </si>
  <si>
    <t>Cruchaga</t>
  </si>
  <si>
    <t>Rare coding variants in the phospholipase D3 gene confer risk for Alzheimer’s disease.</t>
  </si>
  <si>
    <t>?</t>
  </si>
  <si>
    <t>UK-NIA</t>
  </si>
  <si>
    <t>Toronto</t>
  </si>
  <si>
    <t>Tosto</t>
  </si>
  <si>
    <t>F-box/LRR-repeat protein 7 is genetically associated with Alzheimer's disease.</t>
  </si>
  <si>
    <t>Hirano</t>
  </si>
  <si>
    <t>A genome-wide association study of late-onset Alzheimer's disease in a Japanese population</t>
  </si>
  <si>
    <t>Kyushu University</t>
  </si>
  <si>
    <t>Biobank Japan</t>
  </si>
  <si>
    <t>Osaka Midosuji Rotary Club</t>
  </si>
  <si>
    <t>Pharma SNP consortium</t>
  </si>
  <si>
    <t>A novel Alzheimer disease locus located near the gene encoding tau protein.</t>
  </si>
  <si>
    <t>ADGC</t>
  </si>
  <si>
    <t>Herold</t>
  </si>
  <si>
    <t>Family-based Association Analyses of Imputed Genotypes Reveal Genome-Wide Significant Association of Alzheimer’s disease with OSBPL6, PTPRG and PDCL3.</t>
  </si>
  <si>
    <t>Sims</t>
  </si>
  <si>
    <t>Rare coding variants in PLCG2, ABI3, and TREM2 implicate microglial-mediated innate immunity in Alzheimer's disease.</t>
  </si>
  <si>
    <t>CHARGE</t>
  </si>
  <si>
    <t>Mez</t>
  </si>
  <si>
    <t>Two novel loci, COBL and SLC10A2, for Alzheimer's disease in African Americans.</t>
  </si>
  <si>
    <t>Gusareva</t>
  </si>
  <si>
    <t>Male-specific epistasis between WWC1 and TLN2 genes is associated with Alzheimer's disease.</t>
  </si>
  <si>
    <t>Marioni</t>
  </si>
  <si>
    <t>GWAS on family history of Alzheimer’s disease.</t>
  </si>
  <si>
    <t>UK Biobank</t>
  </si>
  <si>
    <t>Jansen</t>
  </si>
  <si>
    <t>Genome-wide meta-analysis identifies new loci and functional pathways influencing Alzheimer's disease risk.</t>
  </si>
  <si>
    <t>DemGene</t>
  </si>
  <si>
    <t>IGAP</t>
  </si>
  <si>
    <t>ADSP</t>
  </si>
  <si>
    <t>de Rojas</t>
  </si>
  <si>
    <t>Common variants in Alzheimer's disease and risk stratification by polygenic risk scores.</t>
  </si>
  <si>
    <t>Kunkle BW</t>
  </si>
  <si>
    <t>Genetic meta-analysis of diagnosed Alzheimer's disease identifies new risk loci and implicates Aβ, tau, immunity and lipid processing.</t>
  </si>
  <si>
    <t>Moreno-Grau</t>
  </si>
  <si>
    <t>Genome-wide association analysis of dementia and its clinical endophenotypes reveal novel loci associated with Alzheimer's disease and three causality networks: The GR@ACE project.</t>
  </si>
  <si>
    <t>Lo</t>
  </si>
  <si>
    <t>Identification of genetic heterogeneity of Alzheimer's disease across age.</t>
  </si>
  <si>
    <t>ACT1</t>
  </si>
  <si>
    <t>ADC*</t>
  </si>
  <si>
    <t>Nazarian</t>
  </si>
  <si>
    <t>Genome-wide analysis of genetic predisposition to Alzheimer’s disease and related sex disparities.</t>
  </si>
  <si>
    <t>Hao</t>
  </si>
  <si>
    <t>Prediction of Alzheimer’s Disease-Associated Genes by Integration of GWAS Summary Data and Expression Data</t>
  </si>
  <si>
    <t>Wightman</t>
  </si>
  <si>
    <t>A genome-wide association study with 1,126,563 individuals identifies new risk loci for Alzheimer's disease.</t>
  </si>
  <si>
    <t xml:space="preserve">The Trøndelag Health Study (HUNT)
</t>
  </si>
  <si>
    <t>Gothenburg H70 Birth Cohort Studies + Clinical AD from Sweden</t>
  </si>
  <si>
    <t>Wang</t>
  </si>
  <si>
    <t>Similar Genetic Architecture of Alzheimer's Disease and Differential APOE Effect Between Sexes.</t>
  </si>
  <si>
    <t>Kunkle</t>
  </si>
  <si>
    <t>Novel Alzheimer Disease Risk Loci and Pathways in African American Individuals Using the African Genome Resources Panel: A Meta-analysis.</t>
  </si>
  <si>
    <t>AAG</t>
  </si>
  <si>
    <t>ADC</t>
  </si>
  <si>
    <t>IU</t>
  </si>
  <si>
    <t>UM/VU</t>
  </si>
  <si>
    <t>Schwartzentruber</t>
  </si>
  <si>
    <t>Genome-wide meta-analysis, fine-mapping and integrative prioritization implicate new Alzheimer’s disease risk genes.</t>
  </si>
  <si>
    <t>Bellenguez</t>
  </si>
  <si>
    <t>New insights into the genetic etiology of Alzheimer's disease and related dementias.</t>
  </si>
  <si>
    <t>EADB</t>
  </si>
  <si>
    <t>Shigemizu</t>
  </si>
  <si>
    <t>Whole-genome sequencing reveals novel ethnicity-specific rare variants associated with Alzheimer's disease</t>
  </si>
  <si>
    <t>938 (used for WGS)</t>
  </si>
  <si>
    <t>Web/ citation</t>
  </si>
  <si>
    <t>https://www.nature.com/articles/s41380-022-01483-0</t>
  </si>
  <si>
    <t>https://www.nature.com/articles/s41588-022-01024-z</t>
  </si>
  <si>
    <t>https://www.nature.com/articles/s41588-020-00776-w</t>
  </si>
  <si>
    <t>https://jamanetwork.com/journals/jamaneurology/fullarticle/2771828</t>
  </si>
  <si>
    <t>GWAS1</t>
  </si>
  <si>
    <t>GWAS2</t>
  </si>
  <si>
    <t>GWAS3</t>
  </si>
  <si>
    <t>GWAS4</t>
  </si>
  <si>
    <t>GWAS5</t>
  </si>
  <si>
    <t>GWAS6</t>
  </si>
  <si>
    <t>GWAS7</t>
  </si>
  <si>
    <t>GWAS8</t>
  </si>
  <si>
    <t>GWAS9</t>
  </si>
  <si>
    <t>GWAS10</t>
  </si>
  <si>
    <t>GWAS11</t>
  </si>
  <si>
    <t>GWAS12</t>
  </si>
  <si>
    <t>GWAS13</t>
  </si>
  <si>
    <t>GWAS14</t>
  </si>
  <si>
    <t>GWAS15</t>
  </si>
  <si>
    <t>GWAS16</t>
  </si>
  <si>
    <t>GWAS17</t>
  </si>
  <si>
    <t>GWAS18</t>
  </si>
  <si>
    <t>GWAS19</t>
  </si>
  <si>
    <t>GWAS20</t>
  </si>
  <si>
    <t>GWAS21</t>
  </si>
  <si>
    <t>GWAS22</t>
  </si>
  <si>
    <t>GWAS23</t>
  </si>
  <si>
    <t>GWAS24</t>
  </si>
  <si>
    <t>GWAS25</t>
  </si>
  <si>
    <t>GWAS26</t>
  </si>
  <si>
    <t>GWAS27</t>
  </si>
  <si>
    <t>GWAS28</t>
  </si>
  <si>
    <t>GWAS29</t>
  </si>
  <si>
    <t>GWAS30</t>
  </si>
  <si>
    <t>GWAS31</t>
  </si>
  <si>
    <t>GWAS32</t>
  </si>
  <si>
    <t>GWAS33</t>
  </si>
  <si>
    <t>GWAS34</t>
  </si>
  <si>
    <t>GWAS35</t>
  </si>
  <si>
    <t>GWAS36</t>
  </si>
  <si>
    <t>GWAS37</t>
  </si>
  <si>
    <t>GWAS38</t>
  </si>
  <si>
    <t>GWAS39</t>
  </si>
  <si>
    <t>GWAS40</t>
  </si>
  <si>
    <t>Illumina HiSeq 2000/2500 platforms (with 100bp paired-end reads)</t>
  </si>
  <si>
    <t>WES &amp; WGS</t>
  </si>
  <si>
    <t>Assumption</t>
  </si>
  <si>
    <t>BAM; FASTQ; SVs; VCF; BED</t>
  </si>
  <si>
    <t>Camouflaged Variants and CNVs</t>
  </si>
  <si>
    <t>~2500</t>
  </si>
  <si>
    <t>Illumina Rapid Capture Exome (ICE) &amp; Roche Nimblegen’s VCRome v2.1; Agilent WES v6</t>
  </si>
  <si>
    <t>VCF; BED; BAM</t>
  </si>
  <si>
    <t>PLINK; VCF &amp; BED</t>
  </si>
  <si>
    <t>Na</t>
  </si>
  <si>
    <t>SNP array &amp; WGS &amp; WES</t>
  </si>
  <si>
    <t>Illumina Infinium HD Human660W-Quad_v1_A; Illumina HumanOmniExpress-12v1_A; Illumina HumanOmniExpress-12v1_H; Illumina Infinium Global Screening Array (GSAMD-24v1-0_20011747_A1, GSAMD-24v2-0_20024620_A1, GSA-24v3-0_A1); Illumina Infinium HumanOmniExpressExome-8v1-2_a; Illumina HiSeqX; Illumina NovaSeq machine</t>
  </si>
  <si>
    <t>Genomic Assay GWAS</t>
  </si>
  <si>
    <t>CNVs, aligned reads &amp; raw reads</t>
  </si>
  <si>
    <t>Agilent WES v5 &amp; Roche Nimblegen’s VCRome v2.1</t>
  </si>
  <si>
    <t>BED; BAM &amp; FASTQ</t>
  </si>
  <si>
    <t>BAM; FASTQ; VCF; CRAM &amp; BED</t>
  </si>
  <si>
    <t>Raw reads; Variant calls; CNV calls; Aligned reads</t>
  </si>
  <si>
    <t>Camouflaged Variants &amp; CNVs</t>
  </si>
  <si>
    <t>BAM; VCF &amp; BED</t>
  </si>
  <si>
    <t>Illumina Rapid Capture Exome (ICE); Roche Nimblegen’s VCRome v2.1 &amp; Agilent WES v3, v4 &amp; v6</t>
  </si>
  <si>
    <t>BAM; FASTQ; VCF &amp; BED</t>
  </si>
  <si>
    <t>BAM; FASTQ</t>
  </si>
  <si>
    <t>*PSP - Progressive Supranuclear Palsy</t>
  </si>
  <si>
    <t>Illumina HiSeqX &amp; Illumina HumanOmniExpress-12v1_A</t>
  </si>
  <si>
    <t>Illumina Rapid Capture Exome (ICE); Roche Nimblegen’s VCRome v2.1; Agilent WES v5; Nimblegen VCRome sequencing w/Custom Spike-In Baits; Roche SeqCap EZ Exome Probes v2.0</t>
  </si>
  <si>
    <t>BAM; FASTQ; VCF; BED</t>
  </si>
  <si>
    <t>SNP array; WES &amp; WGS</t>
  </si>
  <si>
    <t>BAM; FASTQ; VCF; BED; PLINK</t>
  </si>
  <si>
    <t>Aligned reads; Raw reads; SNP genotypes (733 202 markers); Variant calls; CNV calls</t>
  </si>
  <si>
    <t>Illumina HumanOmniExpress-12v1_A &amp; Illumina HiSeq 2000/2500 platforms (with 100bp paired-end reads)</t>
  </si>
  <si>
    <t>Illumina HiSeq 2000/2500 platforms (with 100bp paired-end reads) &amp; Illumina Novaseq machine</t>
  </si>
  <si>
    <t>RNA-seq (microglia)/ SNP array</t>
  </si>
  <si>
    <t>FASTQ; SVs</t>
  </si>
  <si>
    <t>Raw reads; Structural variants</t>
  </si>
  <si>
    <t>WES/ WGS</t>
  </si>
  <si>
    <t>Aligned reads; Variant calls; CNV calls</t>
  </si>
  <si>
    <t>Raw reads; Variant calls; CNV calls; Aligned reads; Structural variants</t>
  </si>
  <si>
    <t>Illumina Rapid Capture Exome (ICE); Roche Nimblegen’s VCRome v2.1 &amp; Agilent WES v6</t>
  </si>
  <si>
    <t>Illumina Rapid Capture Exome (ICE); Roche Nimblegen’s VCRome v2.1 &amp; Roche SeqCap EZ Exome Probes v3.0;</t>
  </si>
  <si>
    <t>BAM; VCF</t>
  </si>
  <si>
    <t>Raw reads; Variant calls; Aligned reads</t>
  </si>
  <si>
    <t>BAM; FASTQ &amp; VCF</t>
  </si>
  <si>
    <t>https://tableau.bi.iu.edu/t/prd/views/IIDP_1/CSDashboard2?iframeSizedToWindow=true&amp;%3Aembed=y&amp;%3AshowAppBanner=false&amp;%3Adisplay_count=no&amp;%3AshowVizHome=no&amp;%3Atabs=no&amp;%3Atoolbar=no</t>
  </si>
  <si>
    <t>SNP array &amp; WGS</t>
  </si>
  <si>
    <t>SNP genotypes &amp; Raw reads</t>
  </si>
  <si>
    <t>Illumina Infinium Global Screening Array-24 v2.0 &amp; Illumina HiSeqX machine</t>
  </si>
  <si>
    <t>FASTQ; VCF &amp; PLINK</t>
  </si>
  <si>
    <t>6 010 (2 032 - stage 1 &amp; 3 978 - stage 2)</t>
  </si>
  <si>
    <t>8625 (5 328 - stage 1 &amp; 3 297 - stage 2)</t>
  </si>
  <si>
    <t>WGS &amp; WES</t>
  </si>
  <si>
    <t>Raw reads; Variant calls; CNV calls &amp; Aligned reads</t>
  </si>
  <si>
    <t>Illumina HiSeq X &amp; Illumia NovaSeq machine</t>
  </si>
  <si>
    <t>SNP &amp; WES</t>
  </si>
  <si>
    <t>SNP &amp; WGS</t>
  </si>
  <si>
    <t>https://jamanetwork.com/journals/jamaneurology/fullarticle/802552</t>
  </si>
  <si>
    <t>https://www.nature.com/articles/tp201245</t>
  </si>
  <si>
    <t>https://www.nature.com/articles/ng.803</t>
  </si>
  <si>
    <t>https://doi.org/10.1371/journal.pgen.1001308</t>
  </si>
  <si>
    <t>https://jamanetwork.com/journals/jamaneurology/fullarticle/1108047</t>
  </si>
  <si>
    <t>https://doi.org/10.1038/mp.2008.141</t>
  </si>
  <si>
    <t>https://doi.org/10.1001/jama.2010.574</t>
  </si>
  <si>
    <t>https://doi.org/10.1371/journal.pgen.1001130</t>
  </si>
  <si>
    <t>https://www.nature.com/articles/ng.439</t>
  </si>
  <si>
    <t>https://www.nature.com/articles/ng.440</t>
  </si>
  <si>
    <t>https://doi.org/10.1016/j.ajhg.2008.10.008</t>
  </si>
  <si>
    <t>https://doi.org/10.1093/hmg/ddm031</t>
  </si>
  <si>
    <t>N - Total</t>
  </si>
  <si>
    <t>Illumina Human Hap550</t>
  </si>
  <si>
    <t>https://www.frontiersin.org/journals/genetics/articles/10.3389/fgene.2018.00653/full</t>
  </si>
  <si>
    <t>https://link.springer.com/article/10.1186/s13195-018-0458-8</t>
  </si>
  <si>
    <t>N of Subjects</t>
  </si>
  <si>
    <t>N of Samples</t>
  </si>
  <si>
    <t>N of Samples after QC</t>
  </si>
  <si>
    <t>ADCA</t>
  </si>
  <si>
    <t>https://www.frontiersin.org/journals/aging-neuroscience/articles/10.3389/fnagi.2021.674318/full</t>
  </si>
  <si>
    <t>https://alz-journals.onlinelibrary.wiley.com/doi/10.1016/j.jalz.2013.01.008</t>
  </si>
  <si>
    <t>https://www.nature.com/articles/mp201214</t>
  </si>
  <si>
    <t>https://www.nejm.org/doi/10.1056/NEJMoa1211103</t>
  </si>
  <si>
    <t>Imaging for all</t>
  </si>
  <si>
    <t>Autopsy for all</t>
  </si>
  <si>
    <t>CSF for all</t>
  </si>
  <si>
    <t>Biomarkers for all</t>
  </si>
  <si>
    <t>Unspec./ diverse methods</t>
  </si>
  <si>
    <t>Non clinical interview</t>
  </si>
  <si>
    <t>https://www.nature.com/articles/ng.2802</t>
  </si>
  <si>
    <t>https://onlinelibrary.wiley.com/doi/10.1002/ana.24219</t>
  </si>
  <si>
    <t>https://link.springer.com/article/10.1186/s13040-014-0035-z</t>
  </si>
  <si>
    <t>https://www.nature.com/articles/nature12825</t>
  </si>
  <si>
    <t>https://onlinelibrary.wiley.com/doi/10.1002/acn3.223</t>
  </si>
  <si>
    <t>https://journals.lww.com/psychgenetics/abstract/2015/08000/a_genome_wide_association_study_of_late_onset.1.aspx</t>
  </si>
  <si>
    <t>https://www.nature.com/articles/mp201523</t>
  </si>
  <si>
    <t>https://www.nature.com/articles/mp2015218</t>
  </si>
  <si>
    <t>https://www.nature.com/articles/ng.3916</t>
  </si>
  <si>
    <t>https://alz-journals.onlinelibrary.wiley.com/doi/10.1016/j.jalz.2016.09.002</t>
  </si>
  <si>
    <t>https://www.sciencedirect.com/science/article/abs/pii/S0197458018302847?via%3Dihub</t>
  </si>
  <si>
    <t>https://doi.org/10.1038/s41398-018-0150-6</t>
  </si>
  <si>
    <t>https://www.nature.com/articles/s41588-018-0311-9</t>
  </si>
  <si>
    <t>Illumina Infinium PsychArray</t>
  </si>
  <si>
    <t>https://www.nature.com/articles/s41467-021-22491-8</t>
  </si>
  <si>
    <t>https://www.nature.com/articles/s41588-019-0358-2</t>
  </si>
  <si>
    <t>https://alz-journals.onlinelibrary.wiley.com/doi/10.1016/j.jalz.2019.06.4950</t>
  </si>
  <si>
    <t>https://www.sciencedirect.com/science/article/abs/pii/S0197458019300727?via%3Dihub</t>
  </si>
  <si>
    <t>https://www.nature.com/articles/s41588-021-00921-z</t>
  </si>
  <si>
    <t>Genotyping Platform</t>
  </si>
  <si>
    <t>Illumina Infinium Human610-Quad</t>
  </si>
  <si>
    <t>Illumina Infinium HumanHap550</t>
  </si>
  <si>
    <t>Illumina Infinium HumanCNV370-Duo</t>
  </si>
  <si>
    <t>Illumina Infinium Human610-Quad; Illumina Infinium HumanCNV370-Duo</t>
  </si>
  <si>
    <t>Illumina Infinium Human610-Quad;  Illumina Infinium HumanCNV370-Duo</t>
  </si>
  <si>
    <t>Illumina Infinium HumanOmniExpress-12</t>
  </si>
  <si>
    <t>Illumina Infinium HumanHap300</t>
  </si>
  <si>
    <t>Illumina Infinium Human610-Quad;Illumina Infinium HumanHap550; Illumina Infinium HumanHap300</t>
  </si>
  <si>
    <t>Illumina Infinium HumanHap300; Illumina Infinium HumanOmniExpress-12</t>
  </si>
  <si>
    <t>Illumina Infinium HumanHap300; Illumina Infinium HumanHap550; Illumina Infinium Human610-Quad</t>
  </si>
  <si>
    <t>Illumina Infinium Human1M-Duo</t>
  </si>
  <si>
    <t>Illumina Infinium Global Screening Array</t>
  </si>
  <si>
    <t>Illumina Infinium Expanded Multi-Ethnic Genotyping Array (MEGAEX)</t>
  </si>
  <si>
    <t>Illumina Infinium Human660W-Quad; Illumina Infinium Human1M-Duo; Illumina Infinium HumanOmniExpress-12</t>
  </si>
  <si>
    <t>Illumina Infinium Human660W-Quad; Illumina Infinium HumanOmniExpress-12</t>
  </si>
  <si>
    <t>Illumina Infinium Human660W-Quad</t>
  </si>
  <si>
    <t>Illumina Infinium HumanHap300; Illumina Infinium Human660W-Quad</t>
  </si>
  <si>
    <t>Affymetrix GeneChip Human Mapping 250K Nsp Array</t>
  </si>
  <si>
    <t>Affymetrix GeneChip Human Mapping 250K Nsp Array; Affymetrix GeneChip Human Mapping 250K Sty Array</t>
  </si>
  <si>
    <t>Applied Biosystems UK BiLEVE Axiom Array</t>
  </si>
  <si>
    <t>Applied Biosystems UK Biobank Axiom Array</t>
  </si>
  <si>
    <t>Illumina Infinium Human1M-Duo; Illumina Infinium Human610-Quad; TaqMan Genotyping Assay</t>
  </si>
  <si>
    <t>TaqMan Genotyping Assay; Affymetrix GeneChip Human Mapping 250K Nsp Array; Affymetrix GeneChip Human Mapping 250K Sty Array</t>
  </si>
  <si>
    <t>Illumina Infinium HumanOmni1-Quad</t>
  </si>
  <si>
    <t>Illumina Infinium HumanHap650Y</t>
  </si>
  <si>
    <t>TaqMan Genotyping Assay</t>
  </si>
  <si>
    <t>Illumina GoldenGate Custom Genotyping; Sequenom MassARRAY System; LGC KASP Genotyping Assay; TaqMan Genotyping Assay</t>
  </si>
  <si>
    <t>Applied Biosystems Human Genome-Wide SNP Array 6.0</t>
  </si>
  <si>
    <t>Illumina Infinium HumanExome v1.0; Illumina Infinium HumanExome v1.1; Agena Bioscience MassARRAY System; TaqMan Genotyping Assay</t>
  </si>
  <si>
    <t>Illumina Infinium HumanExome v1.0; Agena Bioscience MassARRAY System; TaqMan Genotyping Assay</t>
  </si>
  <si>
    <t>Agena Bioscience MassARRAY System; TaqMan Genotyping Assay</t>
  </si>
  <si>
    <t>Illumina Infinium HumanExome v1.0 ; TaqMan Genotyping Assay</t>
  </si>
  <si>
    <t>Applied Biosystems UK BiLEVE Axiom Array; Applied Biosystems UK Biobank Axiom Array</t>
  </si>
  <si>
    <t>Illumina Infinium HumanOmniExpress-24 v1.1</t>
  </si>
  <si>
    <t>Applied Biosystems Axiom Spain Biobank Array</t>
  </si>
  <si>
    <t>Illumina iSelect Custom Genotyping BeadChip</t>
  </si>
  <si>
    <t>Affymetrix GeneChip Human Mapping 250K Nsp Array; Affymetrix GeneChip Human Mapping 250K Sty Array;Illumina Infinium HumanHap550; Illumina Infinium Human1M-Duo</t>
  </si>
  <si>
    <t>Illumina Infinium Human610-Quad; Illumina Infinium HumanHap300</t>
  </si>
  <si>
    <t>Applied Biosystems Human Genome-Wide SNP Array 6.0; Illumina Infinium HumanOmniExpress-12</t>
  </si>
  <si>
    <t>Applied Biosystems Axiom Genome-Wide CEU Array</t>
  </si>
  <si>
    <t>Illumina Infinium Human660W-Quad; Illumina Infinium Human1M-Duo; Applied Biosystems Human Genome-Wide SNP Array 6.0</t>
  </si>
  <si>
    <t>Illumina Infinium HumanCNV370-Duo; Illumina Infinium HumanOmni1-Quad</t>
  </si>
  <si>
    <t>Illumina Infinium HumanOmni2.5-Quad</t>
  </si>
  <si>
    <t>Illumina Infinium HumanCoreExome-12 v1.0; Illumina Infinium HumanCoreExome12 v1.1; Illumina Infinium UM HUNT Biobank v1.0</t>
  </si>
  <si>
    <t>Illumina Infinium HumanHap550; Illumina Infinium OmniExpress-24 v1.0; Illumina Infinium Global Screening Array</t>
  </si>
  <si>
    <t>Illumina Infinium Neurochip</t>
  </si>
  <si>
    <t>Illumina Infinium Human660W-Quad; Illumina Infinium HumanOmniExpress-12; Illumina Infinium HumanOmniExpressExome-8 v1.2; Illumina Infinium Global Screening Array</t>
  </si>
  <si>
    <t>Illumina Infinium Human1M-Duo; Illumina Infinium Global Screening Array</t>
  </si>
  <si>
    <t>Illumina Infinium Multi-Ethnic Global-8 Array (MEGA); Illumina Infinium HumanOmniExpress-24 v1.0</t>
  </si>
  <si>
    <t>Illumina Infinium HumanOmniExpress-24 v1.1; deCODE genetics Custom Axiom Array v1 (Part No. 20012591_A1)</t>
  </si>
  <si>
    <t>Illumina Infinium Metabochip; Illumina Infinium HumanExome v1.0</t>
  </si>
  <si>
    <t>Illumina HiSeq X Ten; Illumina NovaSeq 6000</t>
  </si>
  <si>
    <t>22 (N)</t>
  </si>
  <si>
    <t>23 (N)</t>
  </si>
  <si>
    <t>24 (N)</t>
  </si>
  <si>
    <t>34 (N)</t>
  </si>
  <si>
    <t>44 (N)</t>
  </si>
  <si>
    <t>NA (N)</t>
  </si>
  <si>
    <t>22 (%)</t>
  </si>
  <si>
    <t>23 (%)</t>
  </si>
  <si>
    <t>24 (%)</t>
  </si>
  <si>
    <t>33 (%)</t>
  </si>
  <si>
    <t>34 (%)</t>
  </si>
  <si>
    <t>44 (%)</t>
  </si>
  <si>
    <t>NA (%)</t>
  </si>
  <si>
    <t>33 (N)</t>
  </si>
  <si>
    <t>%</t>
  </si>
  <si>
    <t>N</t>
  </si>
  <si>
    <t>Not Hispanic or Latino (%)</t>
  </si>
  <si>
    <t>Hispanic or Latino (%)</t>
  </si>
  <si>
    <t xml:space="preserve">NA (%) </t>
  </si>
  <si>
    <t>Hispanic or Latino (N)</t>
  </si>
  <si>
    <t>Not Hispanic or Latino (N)</t>
  </si>
  <si>
    <t>NA (N)2</t>
  </si>
  <si>
    <t>Total of samples (N)</t>
  </si>
  <si>
    <t xml:space="preserve">Total of samples (N)    </t>
  </si>
  <si>
    <t xml:space="preserve">Total of samples (N)  </t>
  </si>
  <si>
    <t>Females (%)</t>
  </si>
  <si>
    <t>Males (%)</t>
  </si>
  <si>
    <t>Females (N)</t>
  </si>
  <si>
    <t>Males (N)</t>
  </si>
  <si>
    <t>Total of samples (N)  2</t>
  </si>
  <si>
    <t>Sample Size</t>
  </si>
  <si>
    <t>Samples (N)</t>
  </si>
  <si>
    <t>Samples after QC (N)</t>
  </si>
  <si>
    <t>Assay Details</t>
  </si>
  <si>
    <t>Files</t>
  </si>
  <si>
    <t>Format</t>
  </si>
  <si>
    <t>Characterisation of each NIAGADS sample set, with genomic assay, sample size, and composition by diagnosis, sex, race, ethnicity, genotyping platform, and APOE genotype.</t>
  </si>
  <si>
    <t>Totals for each category summed across all NIAGADS sample sets, by sex, race, ethnicity, and APOE genotype.</t>
  </si>
  <si>
    <t>Category totals may not match the corresponding sample total exactly, owing to rounding of the published percentages and to samples with the attribute not reported.</t>
  </si>
  <si>
    <t>Table 3 - Mapping of studies to shared NIAGADS datasets</t>
  </si>
  <si>
    <t>Matrix linking each study (rows) to the NIAGADS datasets it uses (columns). 
An x marks that the study draws on that dataset, so shared columns reveal overlap between studies.</t>
  </si>
  <si>
    <t>Matrix linking each study (rows) to the NIAGADS sample sets it uses (columns). 
An x marks that the study draws on that sample set, so shared columns reveal overlap between studies.</t>
  </si>
  <si>
    <t>Characterisation of each NIAGADS dataset, with sample size, genomic assay and details and file formats</t>
  </si>
  <si>
    <t>Table 1: Characteristics of the included Alzheimer GWAS</t>
  </si>
  <si>
    <t>Characteristics of the 40 Alzheimer disease GWAS included (2007 to 2022), with first author and year, source cohorts, number of cases, controls and total, genomic assay, genotyping platform, and diagnostic method</t>
  </si>
  <si>
    <t xml:space="preserve">Total of samples (N) </t>
  </si>
  <si>
    <t>File</t>
  </si>
  <si>
    <r>
      <t>https://biobank.ndph.ox.ac.uk/ukb/label.cgi?id=263</t>
    </r>
    <r>
      <rPr>
        <sz val="11"/>
        <rFont val="Aptos Narrow"/>
        <family val="2"/>
        <scheme val="minor"/>
      </rPr>
      <t xml:space="preserve"> (SNP array)/  
</t>
    </r>
    <r>
      <rPr>
        <u/>
        <sz val="11"/>
        <color theme="10"/>
        <rFont val="Aptos Narrow"/>
        <family val="2"/>
        <scheme val="minor"/>
      </rPr>
      <t>https://biobank.ndph.ox.ac.uk/ukb/label.cgi?id=180</t>
    </r>
    <r>
      <rPr>
        <sz val="11"/>
        <rFont val="Aptos Narrow"/>
        <family val="2"/>
        <scheme val="minor"/>
      </rPr>
      <t xml:space="preserve"> (WGS) / 
</t>
    </r>
    <r>
      <rPr>
        <u/>
        <sz val="11"/>
        <color theme="10"/>
        <rFont val="Aptos Narrow"/>
        <family val="2"/>
        <scheme val="minor"/>
      </rPr>
      <t>https://biobank.ndph.ox.ac.uk/ukb/label.cgi?id=170</t>
    </r>
    <r>
      <rPr>
        <sz val="11"/>
        <rFont val="Aptos Narrow"/>
        <family val="2"/>
        <scheme val="minor"/>
      </rPr>
      <t xml:space="preserve"> (WES)</t>
    </r>
  </si>
  <si>
    <t xml:space="preserve">Total of samples (N)     </t>
  </si>
  <si>
    <t>Niagads</t>
  </si>
  <si>
    <t>Assay type</t>
  </si>
  <si>
    <t>Table 4 - NIAGADS datasets characterisation</t>
  </si>
  <si>
    <t>Table 5 - Mapping of studies to shared NIAGADS sample sets</t>
  </si>
  <si>
    <t>Table 6 - NIAGADS sample set characterisation</t>
  </si>
  <si>
    <t>Table 7 - Aggregate counts across all NIAGADS sample sets</t>
  </si>
  <si>
    <t>Complete characterisation of each study (one row per study), bringing together genomic assay, data types, sample size before and after QC, and composition by diagnosis, sex, race, ethnicity, genotyping platform, APOE genotype, and file format</t>
  </si>
  <si>
    <t>Table 2: Full characterisation of all included databases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</si>
</sst>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name val="Arial"/>
      <family val="2"/>
    </font>
    <font>
      <sz val="8"/>
      <name val="Aptos Narrow"/>
      <family val="2"/>
      <scheme val="minor"/>
    </font>
    <font>
      <sz val="11"/>
      <name val="Aptos Narrow"/>
      <family val="2"/>
      <scheme val="minor"/>
    </font>
    <font>
      <b/>
      <sz val="9"/>
      <name val="Arial"/>
      <family val="2"/>
    </font>
    <font>
      <sz val="9"/>
      <color theme="1"/>
      <name val="Arial"/>
      <family val="2"/>
    </font>
    <font>
      <b/>
      <sz val="9"/>
      <color theme="1"/>
      <name val="Arial"/>
      <family val="2"/>
    </font>
    <font>
      <sz val="9"/>
      <color rgb="FF000000"/>
      <name val="Arial"/>
      <family val="2"/>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rgb="FF000000"/>
      <name val="Calibri"/>
      <family val="2"/>
      <charset val="1"/>
    </font>
    <font>
      <sz val="10"/>
      <color rgb="FF000000"/>
      <name val="Arial"/>
      <family val="2"/>
    </font>
    <font>
      <b/>
      <sz val="18"/>
      <color theme="3"/>
      <name val="Aptos Display"/>
      <family val="2"/>
      <scheme val="major"/>
    </font>
    <font>
      <sz val="11"/>
      <color rgb="FF9C6500"/>
      <name val="Aptos Narrow"/>
      <family val="2"/>
      <scheme val="minor"/>
    </font>
    <font>
      <sz val="10"/>
      <name val="Arial"/>
      <family val="2"/>
      <charset val="1"/>
    </font>
    <font>
      <b/>
      <u/>
      <sz val="9"/>
      <color theme="1"/>
      <name val="Arial"/>
      <family val="2"/>
    </font>
    <font>
      <i/>
      <sz val="9"/>
      <color theme="1"/>
      <name val="Aptos Narrow"/>
      <family val="2"/>
      <scheme val="minor"/>
    </font>
  </fonts>
  <fills count="53">
    <fill>
      <patternFill patternType="none"/>
    </fill>
    <fill>
      <patternFill patternType="gray125"/>
    </fill>
    <fill>
      <patternFill patternType="solid">
        <fgColor theme="0" tint="-0.14999847407452621"/>
        <bgColor theme="0" tint="-0.14999847407452621"/>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EBE5F7"/>
        <bgColor indexed="64"/>
      </patternFill>
    </fill>
    <fill>
      <patternFill patternType="solid">
        <fgColor rgb="FFEDF3ED"/>
        <bgColor indexed="64"/>
      </patternFill>
    </fill>
    <fill>
      <patternFill patternType="solid">
        <fgColor rgb="FFFCEED4"/>
        <bgColor indexed="64"/>
      </patternFill>
    </fill>
    <fill>
      <patternFill patternType="solid">
        <fgColor theme="8" tint="0.79998168889431442"/>
        <bgColor indexed="64"/>
      </patternFill>
    </fill>
    <fill>
      <patternFill patternType="solid">
        <fgColor rgb="FFE4D2F2"/>
        <bgColor indexed="64"/>
      </patternFill>
    </fill>
    <fill>
      <patternFill patternType="solid">
        <fgColor rgb="FFD5E3FF"/>
        <bgColor indexed="64"/>
      </patternFill>
    </fill>
    <fill>
      <patternFill patternType="solid">
        <fgColor rgb="FFFFECAF"/>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2" tint="-0.249977111117893"/>
        <bgColor indexed="64"/>
      </patternFill>
    </fill>
    <fill>
      <patternFill patternType="solid">
        <fgColor rgb="FFFCC4ED"/>
        <bgColor indexed="64"/>
      </patternFill>
    </fill>
  </fills>
  <borders count="35">
    <border>
      <left/>
      <right/>
      <top/>
      <bottom/>
      <diagonal/>
    </border>
    <border>
      <left/>
      <right/>
      <top style="thin">
        <color theme="1"/>
      </top>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theme="1"/>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theme="1"/>
      </top>
      <bottom/>
      <diagonal/>
    </border>
    <border>
      <left style="thin">
        <color indexed="64"/>
      </left>
      <right/>
      <top style="thin">
        <color theme="1"/>
      </top>
      <bottom/>
      <diagonal/>
    </border>
    <border>
      <left/>
      <right style="thin">
        <color indexed="64"/>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s>
  <cellStyleXfs count="49">
    <xf numFmtId="0" fontId="0" fillId="0" borderId="0"/>
    <xf numFmtId="0" fontId="2" fillId="0" borderId="0" applyNumberFormat="0" applyFill="0" applyBorder="0" applyAlignment="0" applyProtection="0"/>
    <xf numFmtId="0" fontId="11" fillId="0" borderId="16" applyNumberFormat="0" applyFill="0" applyAlignment="0" applyProtection="0"/>
    <xf numFmtId="0" fontId="12" fillId="0" borderId="17" applyNumberFormat="0" applyFill="0" applyAlignment="0" applyProtection="0"/>
    <xf numFmtId="0" fontId="13" fillId="0" borderId="18" applyNumberFormat="0" applyFill="0" applyAlignment="0" applyProtection="0"/>
    <xf numFmtId="0" fontId="13" fillId="0" borderId="0" applyNumberFormat="0" applyFill="0" applyBorder="0" applyAlignment="0" applyProtection="0"/>
    <xf numFmtId="0" fontId="14" fillId="16" borderId="0" applyNumberFormat="0" applyBorder="0" applyAlignment="0" applyProtection="0"/>
    <xf numFmtId="0" fontId="15" fillId="17" borderId="0" applyNumberFormat="0" applyBorder="0" applyAlignment="0" applyProtection="0"/>
    <xf numFmtId="0" fontId="16" fillId="19" borderId="19" applyNumberFormat="0" applyAlignment="0" applyProtection="0"/>
    <xf numFmtId="0" fontId="17" fillId="20" borderId="20" applyNumberFormat="0" applyAlignment="0" applyProtection="0"/>
    <xf numFmtId="0" fontId="18" fillId="20" borderId="19" applyNumberFormat="0" applyAlignment="0" applyProtection="0"/>
    <xf numFmtId="0" fontId="19" fillId="0" borderId="21" applyNumberFormat="0" applyFill="0" applyAlignment="0" applyProtection="0"/>
    <xf numFmtId="0" fontId="20" fillId="21" borderId="22"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 fillId="0" borderId="24" applyNumberFormat="0" applyFill="0" applyAlignment="0" applyProtection="0"/>
    <xf numFmtId="0" fontId="23"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23"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23"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23"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23" fillId="39" borderId="0" applyNumberFormat="0" applyBorder="0" applyAlignment="0" applyProtection="0"/>
    <xf numFmtId="0" fontId="10" fillId="40" borderId="0" applyNumberFormat="0" applyBorder="0" applyAlignment="0" applyProtection="0"/>
    <xf numFmtId="0" fontId="10" fillId="41" borderId="0" applyNumberFormat="0" applyBorder="0" applyAlignment="0" applyProtection="0"/>
    <xf numFmtId="0" fontId="23" fillId="43" borderId="0" applyNumberFormat="0" applyBorder="0" applyAlignment="0" applyProtection="0"/>
    <xf numFmtId="0" fontId="10" fillId="44" borderId="0" applyNumberFormat="0" applyBorder="0" applyAlignment="0" applyProtection="0"/>
    <xf numFmtId="0" fontId="10" fillId="45" borderId="0" applyNumberFormat="0" applyBorder="0" applyAlignment="0" applyProtection="0"/>
    <xf numFmtId="0" fontId="24" fillId="0" borderId="0"/>
    <xf numFmtId="0" fontId="24" fillId="0" borderId="0"/>
    <xf numFmtId="0" fontId="25" fillId="0" borderId="0"/>
    <xf numFmtId="0" fontId="26" fillId="0" borderId="0" applyNumberFormat="0" applyFill="0" applyBorder="0" applyAlignment="0" applyProtection="0"/>
    <xf numFmtId="0" fontId="27" fillId="18"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10" fillId="0" borderId="0"/>
    <xf numFmtId="0" fontId="10" fillId="22" borderId="23" applyNumberFormat="0" applyFont="0" applyAlignment="0" applyProtection="0"/>
    <xf numFmtId="0" fontId="28" fillId="0" borderId="0"/>
    <xf numFmtId="0" fontId="10" fillId="0" borderId="0"/>
  </cellStyleXfs>
  <cellXfs count="293">
    <xf numFmtId="0" fontId="0" fillId="0" borderId="0" xfId="0"/>
    <xf numFmtId="0" fontId="2" fillId="0" borderId="0" xfId="1"/>
    <xf numFmtId="0" fontId="2" fillId="0" borderId="0" xfId="1"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xf>
    <xf numFmtId="10" fontId="0" fillId="0" borderId="0" xfId="0" applyNumberFormat="1" applyAlignment="1">
      <alignment horizontal="center"/>
    </xf>
    <xf numFmtId="3" fontId="0" fillId="0" borderId="0" xfId="0" applyNumberFormat="1" applyAlignment="1">
      <alignment horizontal="center"/>
    </xf>
    <xf numFmtId="0" fontId="0" fillId="3" borderId="0" xfId="0" applyFill="1" applyAlignment="1">
      <alignment horizontal="center"/>
    </xf>
    <xf numFmtId="164" fontId="0" fillId="0" borderId="0" xfId="0" applyNumberFormat="1" applyAlignment="1">
      <alignment horizontal="center"/>
    </xf>
    <xf numFmtId="0" fontId="5" fillId="0" borderId="0" xfId="0" applyFont="1" applyAlignment="1">
      <alignment horizontal="center"/>
    </xf>
    <xf numFmtId="10" fontId="0" fillId="0" borderId="0" xfId="0" applyNumberFormat="1" applyAlignment="1">
      <alignment horizontal="left"/>
    </xf>
    <xf numFmtId="0" fontId="5" fillId="5" borderId="0" xfId="0" applyFont="1" applyFill="1" applyAlignment="1">
      <alignment horizontal="center"/>
    </xf>
    <xf numFmtId="0" fontId="0" fillId="5" borderId="0" xfId="0" applyFill="1" applyAlignment="1">
      <alignment horizontal="center"/>
    </xf>
    <xf numFmtId="0" fontId="1" fillId="0" borderId="0" xfId="0" applyFont="1" applyAlignment="1">
      <alignment horizontal="center" vertical="center"/>
    </xf>
    <xf numFmtId="0" fontId="3" fillId="0" borderId="2" xfId="0" applyFont="1" applyBorder="1" applyAlignment="1">
      <alignment horizontal="center"/>
    </xf>
    <xf numFmtId="3" fontId="3" fillId="0" borderId="2" xfId="0" applyNumberFormat="1" applyFont="1" applyBorder="1" applyAlignment="1">
      <alignment horizontal="center"/>
    </xf>
    <xf numFmtId="1" fontId="0" fillId="0" borderId="0" xfId="0" applyNumberFormat="1" applyAlignment="1">
      <alignment horizontal="center"/>
    </xf>
    <xf numFmtId="0" fontId="0" fillId="0" borderId="0" xfId="0" applyAlignment="1">
      <alignment vertical="center"/>
    </xf>
    <xf numFmtId="0" fontId="6" fillId="0" borderId="3" xfId="0" applyFont="1" applyBorder="1" applyAlignment="1">
      <alignment horizontal="center" vertical="center" wrapText="1"/>
    </xf>
    <xf numFmtId="0" fontId="6" fillId="0" borderId="3" xfId="0" applyFont="1" applyBorder="1" applyAlignment="1">
      <alignment horizontal="center" vertical="center"/>
    </xf>
    <xf numFmtId="0" fontId="7" fillId="0" borderId="3" xfId="0" applyFont="1" applyBorder="1" applyAlignment="1">
      <alignment horizontal="right" vertical="center"/>
    </xf>
    <xf numFmtId="0" fontId="8" fillId="5" borderId="3" xfId="0" applyFont="1" applyFill="1" applyBorder="1" applyAlignment="1">
      <alignment horizontal="left" vertical="center"/>
    </xf>
    <xf numFmtId="0" fontId="8" fillId="5" borderId="3" xfId="0" applyFont="1" applyFill="1" applyBorder="1" applyAlignment="1">
      <alignment horizontal="right" vertical="center"/>
    </xf>
    <xf numFmtId="0" fontId="7" fillId="0" borderId="3" xfId="0" applyFont="1" applyBorder="1" applyAlignment="1">
      <alignment horizontal="left" vertical="center"/>
    </xf>
    <xf numFmtId="0" fontId="7" fillId="0" borderId="3" xfId="0" applyFont="1" applyBorder="1" applyAlignment="1">
      <alignment vertical="center"/>
    </xf>
    <xf numFmtId="0" fontId="8" fillId="5" borderId="3" xfId="0" applyFont="1" applyFill="1" applyBorder="1" applyAlignment="1">
      <alignment horizontal="center" vertical="center"/>
    </xf>
    <xf numFmtId="3" fontId="0" fillId="0" borderId="0" xfId="0" applyNumberFormat="1"/>
    <xf numFmtId="0" fontId="7" fillId="47" borderId="3" xfId="0" applyFont="1" applyFill="1" applyBorder="1" applyAlignment="1">
      <alignment horizontal="left" vertical="center"/>
    </xf>
    <xf numFmtId="0" fontId="7" fillId="4" borderId="3" xfId="0" applyFont="1" applyFill="1" applyBorder="1" applyAlignment="1">
      <alignment vertical="center"/>
    </xf>
    <xf numFmtId="0" fontId="0" fillId="0" borderId="3" xfId="0" applyBorder="1"/>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8" fillId="0" borderId="3" xfId="0" applyFont="1" applyBorder="1" applyAlignment="1">
      <alignment horizontal="right" vertical="center"/>
    </xf>
    <xf numFmtId="0" fontId="7" fillId="0" borderId="3" xfId="0" applyFont="1" applyBorder="1" applyAlignment="1">
      <alignment horizontal="right" vertical="center" wrapText="1"/>
    </xf>
    <xf numFmtId="0" fontId="0" fillId="48" borderId="3" xfId="0" applyFill="1" applyBorder="1"/>
    <xf numFmtId="1" fontId="0" fillId="0" borderId="0" xfId="0" applyNumberFormat="1"/>
    <xf numFmtId="0" fontId="1" fillId="0" borderId="0" xfId="0" applyFont="1"/>
    <xf numFmtId="0" fontId="0" fillId="48" borderId="3" xfId="0" applyFill="1" applyBorder="1" applyAlignment="1">
      <alignment horizontal="left"/>
    </xf>
    <xf numFmtId="0" fontId="0" fillId="0" borderId="3" xfId="0" applyBorder="1" applyAlignment="1">
      <alignment horizontal="left"/>
    </xf>
    <xf numFmtId="0" fontId="6" fillId="0" borderId="0" xfId="0" applyFont="1" applyAlignment="1">
      <alignment horizontal="center" vertical="center" wrapText="1"/>
    </xf>
    <xf numFmtId="0" fontId="7" fillId="0" borderId="3" xfId="0" applyFont="1" applyBorder="1" applyAlignment="1">
      <alignment horizontal="center" vertical="center"/>
    </xf>
    <xf numFmtId="1" fontId="0" fillId="49" borderId="5" xfId="0" applyNumberFormat="1" applyFill="1" applyBorder="1"/>
    <xf numFmtId="1" fontId="0" fillId="49" borderId="3" xfId="0" applyNumberFormat="1" applyFill="1" applyBorder="1"/>
    <xf numFmtId="0" fontId="0" fillId="49" borderId="5" xfId="0" applyFill="1" applyBorder="1"/>
    <xf numFmtId="0" fontId="0" fillId="49" borderId="13" xfId="0" applyFill="1" applyBorder="1"/>
    <xf numFmtId="2" fontId="0" fillId="0" borderId="0" xfId="0" applyNumberFormat="1"/>
    <xf numFmtId="1" fontId="0" fillId="49" borderId="7" xfId="0" applyNumberFormat="1" applyFill="1" applyBorder="1" applyAlignment="1">
      <alignment horizontal="center"/>
    </xf>
    <xf numFmtId="1" fontId="0" fillId="49" borderId="11" xfId="0" applyNumberFormat="1" applyFill="1" applyBorder="1"/>
    <xf numFmtId="0" fontId="1" fillId="11" borderId="3" xfId="0" applyFont="1" applyFill="1" applyBorder="1" applyAlignment="1">
      <alignment horizontal="center" vertical="center"/>
    </xf>
    <xf numFmtId="0" fontId="1" fillId="0" borderId="31" xfId="0" applyFont="1" applyBorder="1" applyAlignment="1">
      <alignment horizontal="center" vertical="center"/>
    </xf>
    <xf numFmtId="3" fontId="0" fillId="0" borderId="8" xfId="0" applyNumberFormat="1" applyBorder="1" applyAlignment="1">
      <alignment horizontal="center"/>
    </xf>
    <xf numFmtId="0" fontId="0" fillId="0" borderId="8" xfId="0" applyBorder="1" applyAlignment="1">
      <alignment horizontal="center"/>
    </xf>
    <xf numFmtId="10" fontId="0" fillId="0" borderId="8" xfId="0" applyNumberFormat="1" applyBorder="1" applyAlignment="1">
      <alignment horizontal="center"/>
    </xf>
    <xf numFmtId="164" fontId="0" fillId="0" borderId="12" xfId="0" applyNumberFormat="1" applyBorder="1" applyAlignment="1">
      <alignment horizontal="center"/>
    </xf>
    <xf numFmtId="0" fontId="1" fillId="0" borderId="32" xfId="0" applyFont="1" applyBorder="1" applyAlignment="1">
      <alignment horizontal="center" vertical="center"/>
    </xf>
    <xf numFmtId="10" fontId="0" fillId="0" borderId="12" xfId="0" applyNumberFormat="1" applyBorder="1" applyAlignment="1">
      <alignment horizontal="center"/>
    </xf>
    <xf numFmtId="0" fontId="1" fillId="0" borderId="0" xfId="0" applyFont="1" applyAlignment="1">
      <alignment horizontal="left" vertical="center"/>
    </xf>
    <xf numFmtId="0" fontId="1" fillId="0" borderId="12" xfId="0" applyFont="1" applyBorder="1" applyAlignment="1">
      <alignment horizontal="center" vertical="center"/>
    </xf>
    <xf numFmtId="1" fontId="1" fillId="0" borderId="0" xfId="0" applyNumberFormat="1" applyFont="1" applyAlignment="1">
      <alignment horizontal="center" vertical="center"/>
    </xf>
    <xf numFmtId="0" fontId="1" fillId="0" borderId="8" xfId="0" applyFont="1" applyBorder="1" applyAlignment="1">
      <alignment horizontal="center" vertical="center"/>
    </xf>
    <xf numFmtId="2" fontId="1" fillId="0" borderId="0" xfId="0" applyNumberFormat="1" applyFont="1" applyAlignment="1">
      <alignment horizontal="center" vertical="center"/>
    </xf>
    <xf numFmtId="0" fontId="0" fillId="0" borderId="15" xfId="0" applyBorder="1" applyAlignment="1">
      <alignment horizontal="center"/>
    </xf>
    <xf numFmtId="0" fontId="1" fillId="0" borderId="11" xfId="0" applyFont="1" applyBorder="1" applyAlignment="1">
      <alignment horizontal="center" vertical="center"/>
    </xf>
    <xf numFmtId="0" fontId="0" fillId="0" borderId="11" xfId="0" applyBorder="1" applyAlignment="1">
      <alignment horizontal="center"/>
    </xf>
    <xf numFmtId="10" fontId="0" fillId="0" borderId="11" xfId="0" applyNumberFormat="1" applyBorder="1" applyAlignment="1">
      <alignment horizontal="center"/>
    </xf>
    <xf numFmtId="0" fontId="0" fillId="0" borderId="11" xfId="0" applyBorder="1" applyAlignment="1">
      <alignment horizontal="left"/>
    </xf>
    <xf numFmtId="0" fontId="1" fillId="0" borderId="13" xfId="0" applyFont="1" applyBorder="1" applyAlignment="1">
      <alignment horizontal="center" vertical="center"/>
    </xf>
    <xf numFmtId="3" fontId="0" fillId="0" borderId="12" xfId="0" applyNumberFormat="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2" fillId="0" borderId="15" xfId="1" applyBorder="1"/>
    <xf numFmtId="0" fontId="0" fillId="0" borderId="9" xfId="0" applyBorder="1" applyAlignment="1">
      <alignment horizontal="left"/>
    </xf>
    <xf numFmtId="0" fontId="0" fillId="0" borderId="15" xfId="0" applyBorder="1" applyAlignment="1">
      <alignment horizontal="left"/>
    </xf>
    <xf numFmtId="3" fontId="0" fillId="0" borderId="9" xfId="0" applyNumberFormat="1" applyBorder="1" applyAlignment="1">
      <alignment horizontal="center"/>
    </xf>
    <xf numFmtId="164" fontId="0" fillId="0" borderId="9" xfId="0" applyNumberFormat="1" applyBorder="1" applyAlignment="1">
      <alignment horizontal="center"/>
    </xf>
    <xf numFmtId="164" fontId="0" fillId="0" borderId="15" xfId="0" applyNumberFormat="1" applyBorder="1" applyAlignment="1">
      <alignment horizontal="center"/>
    </xf>
    <xf numFmtId="3" fontId="0" fillId="0" borderId="15" xfId="0" applyNumberFormat="1" applyBorder="1" applyAlignment="1">
      <alignment horizontal="center"/>
    </xf>
    <xf numFmtId="1" fontId="0" fillId="0" borderId="15" xfId="0" applyNumberFormat="1" applyBorder="1" applyAlignment="1">
      <alignment horizontal="center"/>
    </xf>
    <xf numFmtId="10" fontId="0" fillId="0" borderId="27" xfId="0" applyNumberFormat="1" applyBorder="1" applyAlignment="1">
      <alignment horizontal="center"/>
    </xf>
    <xf numFmtId="10" fontId="0" fillId="0" borderId="15" xfId="0" applyNumberFormat="1" applyBorder="1" applyAlignment="1">
      <alignment horizontal="center"/>
    </xf>
    <xf numFmtId="10" fontId="0" fillId="0" borderId="15" xfId="0" applyNumberFormat="1" applyBorder="1" applyAlignment="1">
      <alignment horizontal="left"/>
    </xf>
    <xf numFmtId="10" fontId="0" fillId="0" borderId="9" xfId="0" applyNumberFormat="1" applyBorder="1" applyAlignment="1">
      <alignment horizontal="center"/>
    </xf>
    <xf numFmtId="0" fontId="0" fillId="0" borderId="6" xfId="0" applyBorder="1" applyAlignment="1">
      <alignment horizontal="center"/>
    </xf>
    <xf numFmtId="1" fontId="1" fillId="10" borderId="0" xfId="0" applyNumberFormat="1" applyFont="1" applyFill="1" applyAlignment="1">
      <alignment horizontal="center" vertical="center"/>
    </xf>
    <xf numFmtId="0" fontId="1" fillId="10" borderId="8" xfId="0" applyFont="1" applyFill="1" applyBorder="1" applyAlignment="1">
      <alignment horizontal="center" vertical="center"/>
    </xf>
    <xf numFmtId="0" fontId="1" fillId="14" borderId="0" xfId="0" applyFont="1" applyFill="1" applyAlignment="1">
      <alignment horizontal="center" vertical="center"/>
    </xf>
    <xf numFmtId="0" fontId="1" fillId="14" borderId="0" xfId="0" applyFont="1" applyFill="1" applyAlignment="1">
      <alignment horizontal="left" vertical="center"/>
    </xf>
    <xf numFmtId="0" fontId="1" fillId="14" borderId="8" xfId="0" applyFont="1" applyFill="1" applyBorder="1" applyAlignment="1">
      <alignment horizontal="center" vertical="center"/>
    </xf>
    <xf numFmtId="0" fontId="1" fillId="13" borderId="0" xfId="0" applyFont="1" applyFill="1" applyAlignment="1">
      <alignment horizontal="center" vertical="center"/>
    </xf>
    <xf numFmtId="0" fontId="1" fillId="13" borderId="8" xfId="0" applyFont="1" applyFill="1" applyBorder="1" applyAlignment="1">
      <alignment horizontal="center" vertical="center"/>
    </xf>
    <xf numFmtId="0" fontId="1" fillId="0" borderId="0" xfId="0" applyFont="1" applyAlignment="1">
      <alignment vertical="center"/>
    </xf>
    <xf numFmtId="0" fontId="0" fillId="2" borderId="11" xfId="0" applyFill="1" applyBorder="1" applyAlignment="1">
      <alignment horizontal="center"/>
    </xf>
    <xf numFmtId="0" fontId="0" fillId="0" borderId="12" xfId="0" applyBorder="1" applyAlignment="1">
      <alignment horizontal="center" vertical="top"/>
    </xf>
    <xf numFmtId="0" fontId="0" fillId="0" borderId="8" xfId="0" applyBorder="1" applyAlignment="1">
      <alignment horizontal="center" vertical="top"/>
    </xf>
    <xf numFmtId="0" fontId="0" fillId="2" borderId="12" xfId="0" applyFill="1" applyBorder="1" applyAlignment="1">
      <alignment horizontal="center" vertical="top"/>
    </xf>
    <xf numFmtId="0" fontId="0" fillId="2" borderId="8" xfId="0" applyFill="1" applyBorder="1" applyAlignment="1">
      <alignment horizontal="center" vertical="top"/>
    </xf>
    <xf numFmtId="3" fontId="0" fillId="2" borderId="12" xfId="0" applyNumberFormat="1" applyFill="1" applyBorder="1" applyAlignment="1">
      <alignment horizontal="center"/>
    </xf>
    <xf numFmtId="3" fontId="0" fillId="2" borderId="8" xfId="0" applyNumberFormat="1" applyFill="1" applyBorder="1" applyAlignment="1">
      <alignment horizontal="center"/>
    </xf>
    <xf numFmtId="0" fontId="0" fillId="2" borderId="12" xfId="0" applyFill="1" applyBorder="1" applyAlignment="1">
      <alignment horizontal="center"/>
    </xf>
    <xf numFmtId="0" fontId="0" fillId="2" borderId="8" xfId="0" applyFill="1" applyBorder="1" applyAlignment="1">
      <alignment horizontal="center"/>
    </xf>
    <xf numFmtId="3" fontId="0" fillId="0" borderId="27" xfId="0" applyNumberFormat="1" applyBorder="1" applyAlignment="1">
      <alignment horizontal="center"/>
    </xf>
    <xf numFmtId="0" fontId="0" fillId="0" borderId="8" xfId="0" applyBorder="1" applyAlignment="1">
      <alignment horizontal="left"/>
    </xf>
    <xf numFmtId="0" fontId="0" fillId="0" borderId="8" xfId="0" applyBorder="1" applyAlignment="1">
      <alignment horizontal="left" vertical="top"/>
    </xf>
    <xf numFmtId="0" fontId="0" fillId="0" borderId="9" xfId="0" applyBorder="1" applyAlignment="1">
      <alignment horizontal="center"/>
    </xf>
    <xf numFmtId="0" fontId="0" fillId="0" borderId="27" xfId="0" applyBorder="1" applyAlignment="1">
      <alignment horizontal="left"/>
    </xf>
    <xf numFmtId="0" fontId="3" fillId="0" borderId="12" xfId="0" applyFont="1" applyBorder="1" applyAlignment="1">
      <alignment horizontal="center" vertical="center" wrapText="1"/>
    </xf>
    <xf numFmtId="0" fontId="3" fillId="0" borderId="8" xfId="0" applyFont="1" applyBorder="1" applyAlignment="1">
      <alignment horizontal="center" vertical="center"/>
    </xf>
    <xf numFmtId="0" fontId="2" fillId="0" borderId="8" xfId="1" applyBorder="1"/>
    <xf numFmtId="0" fontId="2" fillId="0" borderId="27" xfId="1" applyBorder="1"/>
    <xf numFmtId="0" fontId="0" fillId="0" borderId="0" xfId="0" applyAlignment="1">
      <alignment horizontal="center" vertical="top"/>
    </xf>
    <xf numFmtId="0" fontId="0" fillId="2" borderId="8" xfId="0" applyFill="1" applyBorder="1" applyAlignment="1">
      <alignment horizontal="left"/>
    </xf>
    <xf numFmtId="0" fontId="0" fillId="2" borderId="12" xfId="0" applyFill="1" applyBorder="1" applyAlignment="1">
      <alignment horizontal="left"/>
    </xf>
    <xf numFmtId="0" fontId="0" fillId="0" borderId="27" xfId="0" applyBorder="1" applyAlignment="1">
      <alignment horizontal="center"/>
    </xf>
    <xf numFmtId="0" fontId="1" fillId="8" borderId="5" xfId="0" applyFont="1" applyFill="1" applyBorder="1" applyAlignment="1">
      <alignment horizontal="center" vertical="center"/>
    </xf>
    <xf numFmtId="0" fontId="30" fillId="0" borderId="0" xfId="0" applyFont="1" applyAlignment="1">
      <alignment horizontal="left"/>
    </xf>
    <xf numFmtId="0" fontId="1" fillId="7" borderId="13"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9" xfId="0" applyFont="1" applyFill="1" applyBorder="1" applyAlignment="1">
      <alignment horizontal="center" vertical="center"/>
    </xf>
    <xf numFmtId="0" fontId="1" fillId="7" borderId="27" xfId="0" applyFont="1" applyFill="1" applyBorder="1" applyAlignment="1">
      <alignment horizontal="center" vertical="center"/>
    </xf>
    <xf numFmtId="0" fontId="0" fillId="12" borderId="5" xfId="0" applyFill="1" applyBorder="1" applyAlignment="1">
      <alignment horizontal="center" vertical="center"/>
    </xf>
    <xf numFmtId="0" fontId="0" fillId="12" borderId="6" xfId="0" applyFill="1" applyBorder="1" applyAlignment="1">
      <alignment horizontal="center" vertical="center"/>
    </xf>
    <xf numFmtId="0" fontId="1" fillId="10" borderId="13" xfId="0" applyFont="1" applyFill="1" applyBorder="1" applyAlignment="1">
      <alignment horizontal="center"/>
    </xf>
    <xf numFmtId="0" fontId="1" fillId="10" borderId="14" xfId="0" applyFont="1" applyFill="1" applyBorder="1" applyAlignment="1">
      <alignment horizontal="center"/>
    </xf>
    <xf numFmtId="0" fontId="1" fillId="14" borderId="13" xfId="0" applyFont="1" applyFill="1" applyBorder="1" applyAlignment="1">
      <alignment horizontal="center"/>
    </xf>
    <xf numFmtId="0" fontId="1" fillId="14" borderId="14" xfId="0" applyFont="1" applyFill="1" applyBorder="1" applyAlignment="1">
      <alignment horizontal="center"/>
    </xf>
    <xf numFmtId="0" fontId="1" fillId="14" borderId="7" xfId="0" applyFont="1" applyFill="1" applyBorder="1" applyAlignment="1">
      <alignment horizontal="center"/>
    </xf>
    <xf numFmtId="0" fontId="1" fillId="13" borderId="4" xfId="0" applyFont="1" applyFill="1" applyBorder="1" applyAlignment="1">
      <alignment horizontal="center"/>
    </xf>
    <xf numFmtId="0" fontId="1" fillId="13" borderId="26" xfId="0" applyFont="1" applyFill="1" applyBorder="1" applyAlignment="1">
      <alignment horizontal="center"/>
    </xf>
    <xf numFmtId="0" fontId="1" fillId="11" borderId="3" xfId="0" applyFont="1" applyFill="1" applyBorder="1" applyAlignment="1">
      <alignment horizontal="center" vertical="center"/>
    </xf>
    <xf numFmtId="0" fontId="0" fillId="50" borderId="4" xfId="0" applyFill="1" applyBorder="1" applyAlignment="1">
      <alignment horizontal="center"/>
    </xf>
    <xf numFmtId="0" fontId="0" fillId="50" borderId="26" xfId="0" applyFill="1" applyBorder="1" applyAlignment="1">
      <alignment horizontal="center"/>
    </xf>
    <xf numFmtId="0" fontId="0" fillId="50" borderId="25" xfId="0" applyFill="1" applyBorder="1" applyAlignment="1">
      <alignment horizontal="center"/>
    </xf>
    <xf numFmtId="0" fontId="0" fillId="51" borderId="4" xfId="0" applyFill="1" applyBorder="1" applyAlignment="1">
      <alignment horizontal="center"/>
    </xf>
    <xf numFmtId="0" fontId="0" fillId="51" borderId="26" xfId="0" applyFill="1" applyBorder="1" applyAlignment="1">
      <alignment horizontal="center"/>
    </xf>
    <xf numFmtId="0" fontId="1" fillId="6" borderId="3" xfId="0" applyFont="1" applyFill="1" applyBorder="1" applyAlignment="1">
      <alignment horizontal="center" vertical="center"/>
    </xf>
    <xf numFmtId="0" fontId="1" fillId="15" borderId="3" xfId="0" applyFont="1" applyFill="1" applyBorder="1" applyAlignment="1">
      <alignment horizontal="center" vertical="center"/>
    </xf>
    <xf numFmtId="0" fontId="0" fillId="50" borderId="4" xfId="0" applyFill="1" applyBorder="1" applyAlignment="1">
      <alignment horizontal="center" vertical="center"/>
    </xf>
    <xf numFmtId="0" fontId="0" fillId="50" borderId="25" xfId="0" applyFill="1" applyBorder="1" applyAlignment="1">
      <alignment horizontal="center" vertical="center"/>
    </xf>
    <xf numFmtId="0" fontId="1" fillId="52" borderId="4" xfId="0" applyFont="1" applyFill="1" applyBorder="1" applyAlignment="1">
      <alignment horizontal="center" vertical="center"/>
    </xf>
    <xf numFmtId="0" fontId="1" fillId="52" borderId="25" xfId="0" applyFont="1" applyFill="1" applyBorder="1" applyAlignment="1">
      <alignment horizontal="center" vertical="center"/>
    </xf>
    <xf numFmtId="0" fontId="1" fillId="11" borderId="4" xfId="0" applyFont="1" applyFill="1" applyBorder="1" applyAlignment="1">
      <alignment horizontal="center" vertical="center"/>
    </xf>
    <xf numFmtId="0" fontId="1" fillId="11" borderId="26" xfId="0" applyFont="1" applyFill="1" applyBorder="1" applyAlignment="1">
      <alignment horizontal="center" vertical="center"/>
    </xf>
    <xf numFmtId="0" fontId="1" fillId="11" borderId="25" xfId="0" applyFont="1" applyFill="1" applyBorder="1" applyAlignment="1">
      <alignment horizontal="center" vertical="center"/>
    </xf>
    <xf numFmtId="0" fontId="1" fillId="13" borderId="25" xfId="0" applyFont="1" applyFill="1" applyBorder="1" applyAlignment="1">
      <alignment horizontal="center"/>
    </xf>
    <xf numFmtId="0" fontId="5" fillId="51" borderId="9" xfId="0" applyFont="1" applyFill="1" applyBorder="1" applyAlignment="1">
      <alignment horizontal="center"/>
    </xf>
    <xf numFmtId="0" fontId="5" fillId="51" borderId="15" xfId="0" applyFont="1" applyFill="1" applyBorder="1" applyAlignment="1">
      <alignment horizontal="center"/>
    </xf>
    <xf numFmtId="0" fontId="0" fillId="50" borderId="15" xfId="0" applyFill="1" applyBorder="1" applyAlignment="1">
      <alignment horizontal="center"/>
    </xf>
    <xf numFmtId="0" fontId="0" fillId="50" borderId="27" xfId="0" applyFill="1" applyBorder="1" applyAlignment="1">
      <alignment horizontal="center"/>
    </xf>
    <xf numFmtId="0" fontId="1" fillId="6" borderId="13" xfId="0" applyFont="1" applyFill="1" applyBorder="1" applyAlignment="1">
      <alignment horizontal="center"/>
    </xf>
    <xf numFmtId="0" fontId="1" fillId="6" borderId="7" xfId="0" applyFont="1" applyFill="1" applyBorder="1" applyAlignment="1">
      <alignment horizontal="center"/>
    </xf>
    <xf numFmtId="0" fontId="1" fillId="15" borderId="29" xfId="0" applyFont="1" applyFill="1" applyBorder="1" applyAlignment="1">
      <alignment horizontal="center"/>
    </xf>
    <xf numFmtId="0" fontId="1" fillId="15" borderId="28" xfId="0" applyFont="1" applyFill="1" applyBorder="1" applyAlignment="1">
      <alignment horizontal="center"/>
    </xf>
    <xf numFmtId="0" fontId="1" fillId="9" borderId="29" xfId="0" applyFont="1" applyFill="1" applyBorder="1" applyAlignment="1">
      <alignment horizontal="center"/>
    </xf>
    <xf numFmtId="0" fontId="1" fillId="9" borderId="28" xfId="0" applyFont="1" applyFill="1" applyBorder="1" applyAlignment="1">
      <alignment horizontal="center"/>
    </xf>
    <xf numFmtId="0" fontId="1" fillId="7" borderId="29"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28" xfId="0" applyFont="1" applyFill="1" applyBorder="1" applyAlignment="1">
      <alignment horizontal="center" vertical="center"/>
    </xf>
    <xf numFmtId="0" fontId="0" fillId="0" borderId="3" xfId="0" applyBorder="1" applyAlignment="1">
      <alignment horizontal="left" vertical="center"/>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0" fontId="7" fillId="0" borderId="13"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3" xfId="0" applyFont="1" applyBorder="1" applyAlignment="1">
      <alignment horizontal="center" vertical="top" wrapText="1"/>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0" fillId="0" borderId="0" xfId="0" applyAlignment="1">
      <alignment horizontal="left" vertical="center" wrapText="1"/>
    </xf>
    <xf numFmtId="3" fontId="0" fillId="0" borderId="0" xfId="0" applyNumberFormat="1" applyBorder="1" applyAlignment="1">
      <alignment horizontal="center"/>
    </xf>
    <xf numFmtId="0" fontId="0" fillId="0" borderId="0" xfId="0" applyBorder="1" applyAlignment="1">
      <alignment horizontal="center"/>
    </xf>
    <xf numFmtId="0" fontId="1" fillId="0" borderId="0" xfId="0" applyFont="1" applyBorder="1" applyAlignment="1">
      <alignment horizontal="center" vertical="center"/>
    </xf>
    <xf numFmtId="10" fontId="0" fillId="0" borderId="0" xfId="0" applyNumberFormat="1" applyBorder="1" applyAlignment="1">
      <alignment horizontal="center"/>
    </xf>
    <xf numFmtId="0" fontId="1" fillId="11" borderId="13"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7" xfId="0" applyFont="1" applyFill="1" applyBorder="1" applyAlignment="1">
      <alignment horizontal="center" vertical="center"/>
    </xf>
    <xf numFmtId="0" fontId="1" fillId="11" borderId="9" xfId="0" applyFont="1" applyFill="1" applyBorder="1" applyAlignment="1">
      <alignment horizontal="center" vertical="center"/>
    </xf>
    <xf numFmtId="0" fontId="1" fillId="11" borderId="15" xfId="0" applyFont="1" applyFill="1" applyBorder="1" applyAlignment="1">
      <alignment horizontal="center" vertical="center"/>
    </xf>
    <xf numFmtId="0" fontId="1" fillId="11" borderId="27" xfId="0" applyFont="1" applyFill="1" applyBorder="1" applyAlignment="1">
      <alignment horizontal="center" vertical="center"/>
    </xf>
    <xf numFmtId="0" fontId="1" fillId="10" borderId="4" xfId="0" applyFont="1" applyFill="1" applyBorder="1" applyAlignment="1">
      <alignment horizontal="center"/>
    </xf>
    <xf numFmtId="0" fontId="1" fillId="10" borderId="26" xfId="0" applyFont="1" applyFill="1" applyBorder="1" applyAlignment="1">
      <alignment horizontal="center"/>
    </xf>
    <xf numFmtId="0" fontId="1" fillId="10" borderId="25" xfId="0" applyFont="1" applyFill="1" applyBorder="1" applyAlignment="1">
      <alignment horizontal="center"/>
    </xf>
    <xf numFmtId="0" fontId="1" fillId="14" borderId="4" xfId="0" applyFont="1" applyFill="1" applyBorder="1" applyAlignment="1">
      <alignment horizontal="center"/>
    </xf>
    <xf numFmtId="0" fontId="1" fillId="14" borderId="26" xfId="0" applyFont="1" applyFill="1" applyBorder="1" applyAlignment="1">
      <alignment horizontal="center"/>
    </xf>
    <xf numFmtId="0" fontId="1" fillId="14" borderId="25" xfId="0" applyFont="1" applyFill="1" applyBorder="1" applyAlignment="1">
      <alignment horizontal="center"/>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10" xfId="0" applyFont="1" applyBorder="1" applyAlignment="1">
      <alignment horizontal="center" vertical="center" wrapText="1"/>
    </xf>
    <xf numFmtId="0" fontId="2" fillId="0" borderId="3" xfId="1" applyBorder="1" applyAlignment="1">
      <alignment horizontal="center" vertical="center" wrapText="1"/>
    </xf>
    <xf numFmtId="0" fontId="7" fillId="48" borderId="3" xfId="0" applyFont="1" applyFill="1" applyBorder="1" applyAlignment="1">
      <alignment horizontal="right" vertical="center"/>
    </xf>
    <xf numFmtId="0" fontId="0" fillId="5" borderId="3" xfId="0" applyFill="1" applyBorder="1" applyAlignment="1">
      <alignment horizontal="right" vertical="center"/>
    </xf>
    <xf numFmtId="0" fontId="7" fillId="0" borderId="3" xfId="0" applyFont="1" applyBorder="1" applyAlignment="1">
      <alignment horizontal="left" vertical="center" wrapText="1"/>
    </xf>
    <xf numFmtId="0" fontId="29" fillId="5" borderId="3" xfId="0" applyFont="1" applyFill="1" applyBorder="1" applyAlignment="1">
      <alignment horizontal="right" vertical="center"/>
    </xf>
    <xf numFmtId="0" fontId="9" fillId="0" borderId="3" xfId="0" applyFont="1" applyBorder="1" applyAlignment="1">
      <alignment horizontal="right" vertical="center" wrapText="1"/>
    </xf>
    <xf numFmtId="0" fontId="7" fillId="0" borderId="3" xfId="0" quotePrefix="1" applyFont="1" applyBorder="1" applyAlignment="1">
      <alignment horizontal="right" vertical="center"/>
    </xf>
    <xf numFmtId="0" fontId="6" fillId="0" borderId="3" xfId="0" applyFont="1" applyFill="1" applyBorder="1" applyAlignment="1">
      <alignment horizontal="center" vertical="center"/>
    </xf>
    <xf numFmtId="0" fontId="1" fillId="0" borderId="3" xfId="0" applyFont="1" applyFill="1" applyBorder="1" applyAlignment="1">
      <alignment horizontal="center" vertical="center"/>
    </xf>
    <xf numFmtId="0" fontId="0" fillId="0" borderId="0" xfId="0" applyFill="1" applyAlignment="1">
      <alignment horizontal="center" vertical="center"/>
    </xf>
    <xf numFmtId="0" fontId="5" fillId="0" borderId="0" xfId="0" applyFont="1" applyFill="1" applyAlignment="1">
      <alignment vertical="center"/>
    </xf>
    <xf numFmtId="0" fontId="5" fillId="0" borderId="0" xfId="0" applyFont="1" applyFill="1"/>
    <xf numFmtId="0" fontId="0" fillId="0" borderId="0" xfId="0" applyFill="1"/>
    <xf numFmtId="0" fontId="0" fillId="0" borderId="0" xfId="0" applyFill="1" applyAlignment="1">
      <alignment vertical="center"/>
    </xf>
    <xf numFmtId="0" fontId="1" fillId="0" borderId="0" xfId="0" applyFont="1" applyBorder="1" applyAlignment="1">
      <alignment horizontal="left" vertical="center"/>
    </xf>
    <xf numFmtId="0" fontId="1" fillId="52" borderId="3" xfId="0" applyFont="1" applyFill="1" applyBorder="1" applyAlignment="1">
      <alignment horizontal="center" vertical="center"/>
    </xf>
    <xf numFmtId="0" fontId="1" fillId="10" borderId="3" xfId="0" applyFont="1" applyFill="1" applyBorder="1" applyAlignment="1">
      <alignment horizontal="center" vertical="center"/>
    </xf>
    <xf numFmtId="0" fontId="1" fillId="14" borderId="3" xfId="0" applyFont="1" applyFill="1" applyBorder="1" applyAlignment="1">
      <alignment horizontal="center" vertical="center"/>
    </xf>
    <xf numFmtId="0" fontId="1" fillId="13" borderId="3" xfId="0" applyFont="1" applyFill="1" applyBorder="1" applyAlignment="1">
      <alignment horizontal="center" vertical="center"/>
    </xf>
    <xf numFmtId="0" fontId="1" fillId="12" borderId="3" xfId="0" applyFont="1" applyFill="1" applyBorder="1" applyAlignment="1">
      <alignment horizontal="center" vertical="center"/>
    </xf>
    <xf numFmtId="0" fontId="3" fillId="0" borderId="13" xfId="0" applyFont="1" applyBorder="1"/>
    <xf numFmtId="0" fontId="2" fillId="0" borderId="14" xfId="1" applyBorder="1"/>
    <xf numFmtId="0" fontId="5" fillId="0" borderId="14" xfId="1" applyFont="1" applyBorder="1" applyAlignment="1">
      <alignment horizontal="center"/>
    </xf>
    <xf numFmtId="0" fontId="5" fillId="0" borderId="7" xfId="1" applyFont="1" applyBorder="1" applyAlignment="1">
      <alignment horizontal="center"/>
    </xf>
    <xf numFmtId="0" fontId="3" fillId="0" borderId="12" xfId="0" applyFont="1" applyBorder="1"/>
    <xf numFmtId="0" fontId="2" fillId="0" borderId="0" xfId="1" applyBorder="1"/>
    <xf numFmtId="0" fontId="5" fillId="0" borderId="0" xfId="1" applyFont="1" applyBorder="1" applyAlignment="1">
      <alignment horizontal="center"/>
    </xf>
    <xf numFmtId="3" fontId="3" fillId="0" borderId="8" xfId="0" applyNumberFormat="1" applyFont="1" applyBorder="1" applyAlignment="1">
      <alignment horizontal="center"/>
    </xf>
    <xf numFmtId="0" fontId="3" fillId="0" borderId="0" xfId="0" applyFont="1" applyBorder="1"/>
    <xf numFmtId="0" fontId="3" fillId="0" borderId="33" xfId="0" applyFont="1" applyBorder="1" applyAlignment="1">
      <alignment horizontal="center"/>
    </xf>
    <xf numFmtId="0" fontId="0" fillId="0" borderId="8" xfId="0" applyBorder="1"/>
    <xf numFmtId="0" fontId="2" fillId="0" borderId="12" xfId="1" applyBorder="1"/>
    <xf numFmtId="0" fontId="5" fillId="0" borderId="8" xfId="1" applyFont="1" applyBorder="1" applyAlignment="1">
      <alignment horizontal="center"/>
    </xf>
    <xf numFmtId="0" fontId="3" fillId="2" borderId="0" xfId="0" applyFont="1" applyFill="1" applyBorder="1" applyAlignment="1">
      <alignment horizontal="left"/>
    </xf>
    <xf numFmtId="0" fontId="3" fillId="0" borderId="0" xfId="0" applyFont="1" applyBorder="1" applyAlignment="1">
      <alignment horizontal="center"/>
    </xf>
    <xf numFmtId="0" fontId="2" fillId="0" borderId="0" xfId="1" applyFill="1" applyBorder="1"/>
    <xf numFmtId="0" fontId="5" fillId="0" borderId="0" xfId="1" applyFont="1" applyFill="1" applyBorder="1" applyAlignment="1">
      <alignment horizontal="center"/>
    </xf>
    <xf numFmtId="0" fontId="5" fillId="0" borderId="8" xfId="1" applyFont="1" applyFill="1" applyBorder="1" applyAlignment="1">
      <alignment horizontal="center"/>
    </xf>
    <xf numFmtId="0" fontId="3" fillId="0" borderId="0" xfId="0" quotePrefix="1" applyFont="1" applyBorder="1" applyAlignment="1">
      <alignment horizontal="center"/>
    </xf>
    <xf numFmtId="0" fontId="3" fillId="0" borderId="9" xfId="0" applyFont="1" applyBorder="1"/>
    <xf numFmtId="0" fontId="3" fillId="0" borderId="15" xfId="0" quotePrefix="1" applyFont="1" applyBorder="1" applyAlignment="1">
      <alignment horizontal="center"/>
    </xf>
    <xf numFmtId="0" fontId="5" fillId="0" borderId="15" xfId="1" applyFont="1" applyBorder="1" applyAlignment="1">
      <alignment horizontal="center"/>
    </xf>
    <xf numFmtId="0" fontId="5" fillId="0" borderId="27" xfId="1" applyFont="1" applyBorder="1" applyAlignment="1">
      <alignment horizontal="center"/>
    </xf>
    <xf numFmtId="0" fontId="1" fillId="6" borderId="4" xfId="0" applyFont="1" applyFill="1" applyBorder="1" applyAlignment="1">
      <alignment horizontal="center" vertical="center"/>
    </xf>
    <xf numFmtId="3" fontId="3" fillId="0" borderId="0" xfId="0" applyNumberFormat="1" applyFont="1" applyBorder="1" applyAlignment="1">
      <alignment horizontal="center"/>
    </xf>
    <xf numFmtId="0" fontId="0" fillId="0" borderId="0" xfId="0" applyBorder="1"/>
    <xf numFmtId="0" fontId="0" fillId="0" borderId="0" xfId="0" applyBorder="1" applyAlignment="1">
      <alignment horizontal="left"/>
    </xf>
    <xf numFmtId="0" fontId="5" fillId="0" borderId="12" xfId="1" applyFont="1" applyBorder="1" applyAlignment="1">
      <alignment horizontal="center"/>
    </xf>
    <xf numFmtId="3" fontId="3" fillId="0" borderId="12" xfId="0" applyNumberFormat="1" applyFont="1" applyBorder="1" applyAlignment="1">
      <alignment horizontal="center"/>
    </xf>
    <xf numFmtId="0" fontId="3" fillId="2" borderId="12" xfId="0" applyFont="1" applyFill="1" applyBorder="1" applyAlignment="1">
      <alignment horizontal="center"/>
    </xf>
    <xf numFmtId="0" fontId="3" fillId="2" borderId="0" xfId="0" applyFont="1" applyFill="1" applyBorder="1" applyAlignment="1">
      <alignment horizontal="center"/>
    </xf>
    <xf numFmtId="0" fontId="3" fillId="0" borderId="12" xfId="0" applyFont="1" applyBorder="1" applyAlignment="1">
      <alignment horizontal="center"/>
    </xf>
    <xf numFmtId="0" fontId="5" fillId="0" borderId="12" xfId="1" applyFont="1" applyFill="1" applyBorder="1" applyAlignment="1">
      <alignment horizontal="center"/>
    </xf>
    <xf numFmtId="0" fontId="5" fillId="0" borderId="9" xfId="1" applyFont="1" applyBorder="1" applyAlignment="1">
      <alignment horizontal="center"/>
    </xf>
    <xf numFmtId="0" fontId="3" fillId="0" borderId="8" xfId="0" applyFont="1" applyBorder="1" applyAlignment="1">
      <alignment horizontal="center"/>
    </xf>
    <xf numFmtId="0" fontId="3" fillId="0" borderId="34" xfId="0" applyFont="1" applyBorder="1" applyAlignment="1">
      <alignment horizontal="center"/>
    </xf>
    <xf numFmtId="0" fontId="0" fillId="4" borderId="0" xfId="0" applyFill="1" applyBorder="1" applyAlignment="1">
      <alignment horizontal="center"/>
    </xf>
    <xf numFmtId="164" fontId="0" fillId="0" borderId="0" xfId="0" applyNumberFormat="1" applyBorder="1" applyAlignment="1">
      <alignment horizontal="center"/>
    </xf>
    <xf numFmtId="3" fontId="0" fillId="4" borderId="0" xfId="0" applyNumberFormat="1" applyFill="1" applyBorder="1" applyAlignment="1">
      <alignment horizontal="center"/>
    </xf>
    <xf numFmtId="3" fontId="3" fillId="2" borderId="12" xfId="0" applyNumberFormat="1" applyFont="1" applyFill="1" applyBorder="1" applyAlignment="1">
      <alignment horizontal="center"/>
    </xf>
    <xf numFmtId="3" fontId="3" fillId="2" borderId="0" xfId="0" applyNumberFormat="1" applyFont="1" applyFill="1" applyBorder="1" applyAlignment="1">
      <alignment horizontal="center"/>
    </xf>
    <xf numFmtId="3" fontId="3" fillId="0" borderId="12" xfId="0" applyNumberFormat="1" applyFont="1" applyBorder="1" applyAlignment="1">
      <alignment horizontal="left"/>
    </xf>
    <xf numFmtId="3" fontId="3" fillId="0" borderId="0" xfId="0" applyNumberFormat="1" applyFont="1" applyBorder="1" applyAlignment="1">
      <alignment horizontal="left"/>
    </xf>
    <xf numFmtId="0" fontId="3" fillId="2" borderId="8" xfId="0" applyFont="1" applyFill="1" applyBorder="1" applyAlignment="1">
      <alignment horizontal="center"/>
    </xf>
    <xf numFmtId="3" fontId="0" fillId="0" borderId="12" xfId="0" applyNumberFormat="1" applyBorder="1"/>
    <xf numFmtId="3" fontId="0" fillId="0" borderId="0" xfId="0" applyNumberFormat="1" applyBorder="1"/>
    <xf numFmtId="164" fontId="0" fillId="0" borderId="0" xfId="0" applyNumberFormat="1" applyBorder="1"/>
    <xf numFmtId="3" fontId="0" fillId="0" borderId="8" xfId="0" applyNumberFormat="1" applyBorder="1"/>
    <xf numFmtId="1" fontId="0" fillId="0" borderId="12" xfId="0" applyNumberFormat="1" applyBorder="1" applyAlignment="1">
      <alignment horizontal="center"/>
    </xf>
    <xf numFmtId="1" fontId="0" fillId="0" borderId="0" xfId="0" applyNumberFormat="1" applyBorder="1" applyAlignment="1">
      <alignment horizontal="center"/>
    </xf>
    <xf numFmtId="10" fontId="0" fillId="0" borderId="0" xfId="0" applyNumberFormat="1" applyBorder="1"/>
    <xf numFmtId="164" fontId="3" fillId="0" borderId="12" xfId="0" applyNumberFormat="1" applyFont="1" applyBorder="1" applyAlignment="1">
      <alignment horizontal="center"/>
    </xf>
    <xf numFmtId="164" fontId="3" fillId="0" borderId="0" xfId="0" applyNumberFormat="1" applyFont="1" applyBorder="1" applyAlignment="1">
      <alignment horizontal="center"/>
    </xf>
    <xf numFmtId="9" fontId="0" fillId="0" borderId="0" xfId="0" applyNumberFormat="1" applyBorder="1" applyAlignment="1">
      <alignment horizontal="center"/>
    </xf>
    <xf numFmtId="0" fontId="1" fillId="7" borderId="25" xfId="0" applyFont="1" applyFill="1" applyBorder="1" applyAlignment="1">
      <alignment horizontal="center" vertical="center"/>
    </xf>
    <xf numFmtId="0" fontId="1" fillId="7" borderId="26" xfId="0" applyFont="1" applyFill="1" applyBorder="1" applyAlignment="1">
      <alignment horizontal="center" vertical="center"/>
    </xf>
    <xf numFmtId="0" fontId="3" fillId="0" borderId="12" xfId="0" applyFont="1" applyBorder="1" applyAlignment="1">
      <alignment horizontal="left"/>
    </xf>
    <xf numFmtId="0" fontId="3" fillId="0" borderId="8" xfId="0" applyFont="1" applyBorder="1" applyAlignment="1">
      <alignment horizontal="left"/>
    </xf>
    <xf numFmtId="0" fontId="3" fillId="0" borderId="0" xfId="0" applyFont="1" applyBorder="1" applyAlignment="1">
      <alignment horizontal="left"/>
    </xf>
    <xf numFmtId="164" fontId="5" fillId="0" borderId="0" xfId="1" applyNumberFormat="1" applyFont="1" applyBorder="1" applyAlignment="1">
      <alignment horizontal="center"/>
    </xf>
    <xf numFmtId="164" fontId="5" fillId="0" borderId="15" xfId="1" applyNumberFormat="1" applyFont="1" applyBorder="1" applyAlignment="1">
      <alignment horizontal="center"/>
    </xf>
    <xf numFmtId="0" fontId="5" fillId="0" borderId="11" xfId="1" applyFont="1" applyBorder="1" applyAlignment="1">
      <alignment horizontal="left"/>
    </xf>
    <xf numFmtId="0" fontId="3" fillId="0" borderId="11" xfId="0" applyFont="1" applyBorder="1" applyAlignment="1">
      <alignment horizontal="left"/>
    </xf>
    <xf numFmtId="0" fontId="5" fillId="0" borderId="6" xfId="1" applyFont="1" applyBorder="1" applyAlignment="1">
      <alignment horizontal="left"/>
    </xf>
    <xf numFmtId="0" fontId="2" fillId="0" borderId="11" xfId="1" applyBorder="1" applyAlignment="1">
      <alignment horizontal="left" vertical="top" wrapText="1"/>
    </xf>
    <xf numFmtId="0" fontId="3" fillId="2" borderId="11" xfId="0" applyFont="1" applyFill="1" applyBorder="1" applyAlignment="1">
      <alignment horizontal="left"/>
    </xf>
    <xf numFmtId="0" fontId="0" fillId="0" borderId="6" xfId="0" applyBorder="1" applyAlignment="1">
      <alignment horizontal="left"/>
    </xf>
    <xf numFmtId="0" fontId="1" fillId="6" borderId="26" xfId="0" applyFont="1" applyFill="1" applyBorder="1" applyAlignment="1">
      <alignment horizontal="center" vertical="center"/>
    </xf>
    <xf numFmtId="0" fontId="1" fillId="0" borderId="7" xfId="0" applyFont="1" applyBorder="1" applyAlignment="1">
      <alignment horizontal="center" vertical="center"/>
    </xf>
    <xf numFmtId="0" fontId="1" fillId="6" borderId="7" xfId="0" applyFont="1" applyFill="1" applyBorder="1" applyAlignment="1">
      <alignment horizontal="center" vertical="center"/>
    </xf>
    <xf numFmtId="0" fontId="3" fillId="0" borderId="0" xfId="0" applyFont="1" applyBorder="1" applyAlignment="1">
      <alignment horizontal="center" vertical="center"/>
    </xf>
    <xf numFmtId="0" fontId="3" fillId="0" borderId="27" xfId="1" applyFont="1" applyBorder="1" applyAlignment="1">
      <alignment horizontal="center"/>
    </xf>
    <xf numFmtId="0" fontId="0" fillId="0" borderId="0" xfId="0" applyFill="1" applyBorder="1" applyAlignment="1">
      <alignment horizontal="center"/>
    </xf>
    <xf numFmtId="0" fontId="3" fillId="0" borderId="2" xfId="0" applyFont="1" applyFill="1" applyBorder="1" applyAlignment="1">
      <alignment horizontal="center"/>
    </xf>
    <xf numFmtId="164" fontId="0" fillId="0" borderId="0" xfId="0" applyNumberFormat="1" applyFill="1" applyBorder="1" applyAlignment="1">
      <alignment horizontal="center"/>
    </xf>
    <xf numFmtId="0" fontId="5" fillId="0" borderId="0" xfId="1" applyFont="1" applyBorder="1" applyAlignment="1">
      <alignment horizontal="left"/>
    </xf>
    <xf numFmtId="0" fontId="5" fillId="0" borderId="15" xfId="1" applyFont="1" applyBorder="1" applyAlignment="1">
      <alignment horizontal="left"/>
    </xf>
    <xf numFmtId="0" fontId="1" fillId="15" borderId="13" xfId="0" applyFont="1" applyFill="1" applyBorder="1" applyAlignment="1">
      <alignment horizontal="center" vertical="center"/>
    </xf>
    <xf numFmtId="0" fontId="1" fillId="15" borderId="7" xfId="0" applyFont="1" applyFill="1" applyBorder="1" applyAlignment="1">
      <alignment horizontal="center" vertical="center"/>
    </xf>
    <xf numFmtId="0" fontId="3" fillId="2" borderId="12" xfId="0" applyFont="1" applyFill="1" applyBorder="1" applyAlignment="1">
      <alignment horizontal="left"/>
    </xf>
  </cellXfs>
  <cellStyles count="49">
    <cellStyle name="20% - Cor1" xfId="17" builtinId="30" customBuiltin="1"/>
    <cellStyle name="20% - Cor2" xfId="20" builtinId="34" customBuiltin="1"/>
    <cellStyle name="20% - Cor3" xfId="23" builtinId="38" customBuiltin="1"/>
    <cellStyle name="20% - Cor4" xfId="26" builtinId="42" customBuiltin="1"/>
    <cellStyle name="20% - Cor5" xfId="29" builtinId="46" customBuiltin="1"/>
    <cellStyle name="20% - Cor6" xfId="32" builtinId="50" customBuiltin="1"/>
    <cellStyle name="40% - Cor1" xfId="18" builtinId="31" customBuiltin="1"/>
    <cellStyle name="40% - Cor2" xfId="21" builtinId="35" customBuiltin="1"/>
    <cellStyle name="40% - Cor3" xfId="24" builtinId="39" customBuiltin="1"/>
    <cellStyle name="40% - Cor4" xfId="27" builtinId="43" customBuiltin="1"/>
    <cellStyle name="40% - Cor5" xfId="30" builtinId="47" customBuiltin="1"/>
    <cellStyle name="40% - Cor6" xfId="33" builtinId="51" customBuiltin="1"/>
    <cellStyle name="60% - Cor1 2" xfId="39" xr:uid="{24444500-7FB4-4334-9D20-8F2E0FC23C65}"/>
    <cellStyle name="60% - Cor2 2" xfId="40" xr:uid="{3B671094-CD6A-4672-AFEA-5CBAD59E727E}"/>
    <cellStyle name="60% - Cor3 2" xfId="41" xr:uid="{3433A0E7-DB14-454E-A2A4-5F03F6DBAA96}"/>
    <cellStyle name="60% - Cor4 2" xfId="42" xr:uid="{1972929F-6CAC-4939-B316-F02EFA024D52}"/>
    <cellStyle name="60% - Cor5 2" xfId="43" xr:uid="{475D77EE-200A-4EAA-B143-CD1ED9651AB7}"/>
    <cellStyle name="60% - Cor6 2" xfId="44" xr:uid="{3024CCEB-571F-418B-A038-1E00EBEBEDE0}"/>
    <cellStyle name="Cabeçalho 1" xfId="2" builtinId="16" customBuiltin="1"/>
    <cellStyle name="Cabeçalho 2" xfId="3" builtinId="17" customBuiltin="1"/>
    <cellStyle name="Cabeçalho 3" xfId="4" builtinId="18" customBuiltin="1"/>
    <cellStyle name="Cabeçalho 4" xfId="5" builtinId="19" customBuiltin="1"/>
    <cellStyle name="Cálculo" xfId="10" builtinId="22" customBuiltin="1"/>
    <cellStyle name="Célula Ligada" xfId="11" builtinId="24" customBuiltin="1"/>
    <cellStyle name="Cor1" xfId="16" builtinId="29" customBuiltin="1"/>
    <cellStyle name="Cor2" xfId="19" builtinId="33" customBuiltin="1"/>
    <cellStyle name="Cor3" xfId="22" builtinId="37" customBuiltin="1"/>
    <cellStyle name="Cor4" xfId="25" builtinId="41" customBuiltin="1"/>
    <cellStyle name="Cor5" xfId="28" builtinId="45" customBuiltin="1"/>
    <cellStyle name="Cor6" xfId="31" builtinId="49" customBuiltin="1"/>
    <cellStyle name="Correto" xfId="6" builtinId="26" customBuiltin="1"/>
    <cellStyle name="Entrada" xfId="8" builtinId="20" customBuiltin="1"/>
    <cellStyle name="Hiperligação" xfId="1" builtinId="8"/>
    <cellStyle name="Incorreto" xfId="7" builtinId="27" customBuiltin="1"/>
    <cellStyle name="Neutro 2" xfId="38" xr:uid="{16C0A0C7-75EB-4DD8-A8FF-41B7B3074BD3}"/>
    <cellStyle name="Normal" xfId="0" builtinId="0"/>
    <cellStyle name="Normal 2" xfId="35" xr:uid="{D62A6861-C666-48DA-977C-5F7897864AA3}"/>
    <cellStyle name="Normal 3" xfId="34" xr:uid="{EB08F087-05AE-455B-B481-1EAEDD5A977B}"/>
    <cellStyle name="Notiz 2" xfId="46" xr:uid="{1BC97B70-BC1A-4116-B606-C32434A7EF2B}"/>
    <cellStyle name="Saída" xfId="9" builtinId="21" customBuiltin="1"/>
    <cellStyle name="Standard 2" xfId="36" xr:uid="{FD0B59A7-5F1A-47F7-A291-4317EC48A64C}"/>
    <cellStyle name="Standard 3" xfId="45" xr:uid="{87D04E79-B20B-4077-9469-AA7F577C3B69}"/>
    <cellStyle name="Standard 4" xfId="47" xr:uid="{131C8C20-BBED-46EE-8F6E-D1DB785418C8}"/>
    <cellStyle name="Standard 6" xfId="48" xr:uid="{37589C2A-9D33-4D0D-8D71-CCC200F815E1}"/>
    <cellStyle name="Texto de Aviso" xfId="13" builtinId="11" customBuiltin="1"/>
    <cellStyle name="Texto Explicativo" xfId="14" builtinId="53" customBuiltin="1"/>
    <cellStyle name="Título 2" xfId="37" xr:uid="{B23BC729-DC15-4616-BF73-0A71769F5E45}"/>
    <cellStyle name="Total" xfId="15" builtinId="25" customBuiltin="1"/>
    <cellStyle name="Verificar Célula" xfId="12" builtinId="23" customBuiltin="1"/>
  </cellStyles>
  <dxfs count="342">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left/>
        <right style="thin">
          <color indexed="64"/>
        </right>
        <vertical/>
      </border>
    </dxf>
    <dxf>
      <font>
        <u val="none"/>
        <color auto="1"/>
      </font>
      <alignment horizontal="center"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1"/>
        <color auto="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border diagonalUp="0" diagonalDown="0">
        <left style="thin">
          <color indexed="64"/>
        </left>
        <right/>
        <vertical/>
      </border>
    </dxf>
    <dxf>
      <alignment horizontal="left" textRotation="0" wrapText="0" indent="0" justifyLastLine="0" shrinkToFit="0" readingOrder="0"/>
      <border diagonalUp="0" diagonalDown="0">
        <left style="thin">
          <color indexed="64"/>
        </left>
        <right style="thin">
          <color indexed="64"/>
        </right>
        <top/>
        <bottom/>
        <vertical/>
        <horizontal/>
      </border>
    </dxf>
    <dxf>
      <alignment horizontal="left" vertical="bottom" textRotation="0" wrapText="0" indent="0" justifyLastLine="0" shrinkToFit="0" readingOrder="0"/>
      <border diagonalUp="0" diagonalDown="0">
        <left style="thin">
          <color indexed="64"/>
        </left>
        <right style="thin">
          <color indexed="64"/>
        </right>
        <vertical/>
      </border>
    </dxf>
    <dxf>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border diagonalUp="0" diagonalDown="0">
        <left style="thin">
          <color indexed="64"/>
        </left>
      </border>
    </dxf>
    <dxf>
      <alignment horizontal="center" textRotation="0" wrapText="0" indent="0" justifyLastLine="0" shrinkToFit="0" readingOrder="0"/>
      <border diagonalUp="0" diagonalDown="0">
        <left/>
        <right style="thin">
          <color indexed="64"/>
        </right>
        <vertical/>
      </border>
    </dxf>
    <dxf>
      <alignment horizontal="left" vertical="bottom" textRotation="0" wrapText="0" indent="0" justifyLastLine="0" shrinkToFit="0" readingOrder="0"/>
      <border diagonalUp="0" diagonalDown="0">
        <left style="thin">
          <color indexed="64"/>
        </left>
        <right/>
        <vertic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border diagonalUp="0" diagonalDown="0">
        <left style="thin">
          <color indexed="64"/>
        </lef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border>
    </dxf>
    <dxf>
      <border diagonalUp="0" diagonalDown="0"/>
    </dxf>
    <dxf>
      <alignment horizontal="center" vertical="bottom" textRotation="0" wrapText="0" indent="0" justifyLastLine="0" shrinkToFit="0" readingOrder="0"/>
      <border diagonalUp="0" diagonalDown="0">
        <left style="thin">
          <color indexed="64"/>
        </left>
      </border>
    </dxf>
    <dxf>
      <alignment horizontal="center" vertical="bottom" textRotation="0" wrapText="0" indent="0" justifyLastLine="0" shrinkToFit="0" readingOrder="0"/>
      <border diagonalUp="0" diagonalDown="0">
        <left/>
        <right style="thin">
          <color indexed="64"/>
        </right>
        <vertic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vertic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border>
    </dxf>
    <dxf>
      <numFmt numFmtId="14" formatCode="0.00%"/>
      <alignment horizontal="left" vertical="bottom" textRotation="0" wrapText="0" indent="0" justifyLastLine="0" shrinkToFit="0" readingOrder="0"/>
    </dxf>
    <dxf>
      <numFmt numFmtId="14" formatCode="0.00%"/>
      <alignment horizontal="left" vertical="bottom"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left" vertical="bottom" textRotation="0" wrapText="0" indent="0" justifyLastLine="0" shrinkToFit="0" readingOrder="0"/>
      <border diagonalUp="0" diagonalDown="0">
        <left/>
        <right style="thin">
          <color indexed="64"/>
        </right>
        <vertical/>
      </border>
    </dxf>
    <dxf>
      <alignment horizontal="center"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vertical/>
      </border>
    </dxf>
    <dxf>
      <alignment horizontal="center" vertical="bottom" textRotation="0" wrapText="0" indent="0" justifyLastLine="0" shrinkToFit="0" readingOrder="0"/>
      <border diagonalUp="0" diagonalDown="0">
        <left/>
        <right style="thin">
          <color indexed="64"/>
        </right>
        <vertical/>
      </border>
    </dxf>
    <dxf>
      <alignment horizontal="center" vertical="bottom" textRotation="0" wrapText="0" indent="0" justifyLastLine="0" shrinkToFit="0" readingOrder="0"/>
      <border diagonalUp="0" diagonalDown="0">
        <left style="thin">
          <color indexed="64"/>
        </left>
        <right/>
        <vertical/>
      </border>
    </dxf>
    <dxf>
      <border diagonalUp="0" diagonalDown="0">
        <left/>
        <right style="thin">
          <color indexed="64"/>
        </right>
        <top/>
        <bottom/>
        <vertical/>
        <horizontal/>
      </border>
    </dxf>
    <dxf>
      <alignment horizontal="center" textRotation="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border diagonalUp="0" diagonalDown="0">
        <left style="thin">
          <color indexed="64"/>
        </left>
        <right style="thin">
          <color indexed="64"/>
        </right>
        <top/>
        <bottom/>
        <vertical/>
        <horizontal/>
      </border>
    </dxf>
    <dxf>
      <numFmt numFmtId="0" formatCode="General"/>
      <fill>
        <patternFill patternType="solid">
          <fgColor indexed="64"/>
          <bgColor theme="0"/>
        </patternFill>
      </fill>
      <border diagonalUp="0" diagonalDown="0">
        <left style="thin">
          <color indexed="64"/>
        </left>
        <right style="thin">
          <color indexed="64"/>
        </right>
        <top/>
        <bottom/>
        <vertical/>
        <horizontal/>
      </border>
    </dxf>
    <dxf>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font>
      <numFmt numFmtId="1" formatCode="0"/>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vertic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indexed="64"/>
        </right>
        <top/>
        <bottom/>
        <vertical/>
        <horizontal/>
      </border>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border diagonalUp="0" diagonalDown="0">
        <left/>
        <right style="thin">
          <color indexed="64"/>
        </right>
        <top/>
        <bottom/>
        <vertical/>
        <horizontal/>
      </border>
    </dxf>
    <dxf>
      <numFmt numFmtId="164"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indexed="64"/>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indexed="64"/>
        </right>
        <top/>
        <bottom/>
        <vertical/>
        <horizontal/>
      </border>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left style="thin">
          <color indexed="64"/>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border diagonalUp="0" diagonalDown="0">
        <left style="thin">
          <color indexed="64"/>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bottom/>
        <vertical/>
        <horizontal/>
      </border>
    </dxf>
    <dxf>
      <alignment horizontal="center" vertical="bottom" textRotation="0" wrapText="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FFECAF"/>
      <color rgb="FFEDF3ED"/>
      <color rgb="FFE4D2F2"/>
      <color rgb="FFFCC4ED"/>
      <color rgb="FFD5E3FF"/>
      <color rgb="FFE0F8E3"/>
      <color rgb="FFAFC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06FC9C-819A-4B73-B198-FF6267F0C43A}" name="Tabela1" displayName="Tabela1" ref="A6:BE127" totalsRowShown="0" headerRowDxfId="186">
  <autoFilter ref="A6:BE127" xr:uid="{1306FC9C-819A-4B73-B198-FF6267F0C43A}"/>
  <sortState xmlns:xlrd2="http://schemas.microsoft.com/office/spreadsheetml/2017/richdata2" ref="A116:BE116">
    <sortCondition ref="A6:A127"/>
  </sortState>
  <tableColumns count="57">
    <tableColumn id="1" xr3:uid="{581DF9AB-709C-4504-9633-5EE8025463DE}" name="Study name" dataDxfId="5"/>
    <tableColumn id="2" xr3:uid="{153AAD63-BA3F-48F6-A5C2-75B84EB0BF9D}" name="Website/ citation" dataDxfId="4"/>
    <tableColumn id="58" xr3:uid="{F890CF61-D422-41CF-9D3D-52BEEBCD4C52}" name="Assumption" dataDxfId="3" dataCellStyle="Hiperligação"/>
    <tableColumn id="10" xr3:uid="{3CFA3634-C73A-4889-9B2B-77A1F276CD54}" name="Niagads" dataDxfId="2" dataCellStyle="Hiperligação"/>
    <tableColumn id="5" xr3:uid="{7EEC4F81-A1CB-4AE0-B609-F62108C34A60}" name="N of Subjects" dataDxfId="54"/>
    <tableColumn id="59" xr3:uid="{153E56B5-BEA0-4B0F-922E-EEFABC331C01}" name="N of Samples" dataDxfId="53"/>
    <tableColumn id="6" xr3:uid="{D9B4A300-9AF2-43AF-91E4-614BD712E4CE}" name="N of Samples after QC" dataDxfId="52"/>
    <tableColumn id="7" xr3:uid="{3315F2C7-F56B-4F04-A60B-6B647C6AE8D0}" name="AD Case" dataDxfId="51"/>
    <tableColumn id="21" xr3:uid="{F802F7A7-1A9F-418D-8CA3-E099EE304523}" name="AD Control" dataDxfId="50"/>
    <tableColumn id="8" xr3:uid="{139BF675-8333-4540-B595-0E88CA66A655}" name="AD Other" dataDxfId="49"/>
    <tableColumn id="9" xr3:uid="{5E5189E9-5C2D-4442-9A42-34462118D99C}" name="AD Unknown" dataDxfId="48"/>
    <tableColumn id="66" xr3:uid="{B8291456-1E4D-496B-BC21-4566C76E04E6}" name="MCI Case" dataDxfId="47"/>
    <tableColumn id="68" xr3:uid="{5BD44317-4EF6-42CF-AA98-29C42A7E3430}" name="SCD Case"/>
    <tableColumn id="29" xr3:uid="{9D0C8E11-DBB4-46FF-AF22-8C40818E6292}" name="PSP Case" dataDxfId="46"/>
    <tableColumn id="30" xr3:uid="{3CF2FE34-5785-4F22-B778-7BD9875A8347}" name="PSP Control" dataDxfId="45"/>
    <tableColumn id="27" xr3:uid="{B708DAD2-6A23-4A45-B124-6B5AC5305206}" name="CBD Case" dataDxfId="44"/>
    <tableColumn id="28" xr3:uid="{CD1B5724-8837-48D5-8A3E-8C69E2BE8144}" name="Neurological and Psychiatric Brain Disorders Case" dataDxfId="43"/>
    <tableColumn id="25" xr3:uid="{2413552A-5B90-4A63-A583-77605EAA27A7}" name="Neurological and Psychiatric Brain Disorders Control" dataDxfId="42"/>
    <tableColumn id="26" xr3:uid="{B398C671-D03E-446C-B1AD-EA512F549D38}" name="ADRD* Case" dataDxfId="41"/>
    <tableColumn id="23" xr3:uid="{1333C685-0201-48A0-A701-D9F6D58A1BE8}" name="ADRD* Control" dataDxfId="40"/>
    <tableColumn id="13" xr3:uid="{A90C91E0-8C2C-44F6-BDD0-B7E6C25272E4}" name="Dementia Case" dataDxfId="39"/>
    <tableColumn id="14" xr3:uid="{1905A192-6FCF-4D5C-A794-C3FB682CD99A}" name="Dementia Control" dataDxfId="38"/>
    <tableColumn id="15" xr3:uid="{6D64A03C-7FAA-4DF7-91DE-EAA6B66CE6A4}" name="NA Unknown" dataDxfId="37"/>
    <tableColumn id="18" xr3:uid="{35AEBD07-82C7-4FB4-A47A-6AB46E6F27E9}" name="Total of samples (N)     " dataDxfId="36"/>
    <tableColumn id="19" xr3:uid="{9937149F-4D14-4561-96DF-DBF5CC3C62F8}" name="Nº of females" dataDxfId="35"/>
    <tableColumn id="20" xr3:uid="{55A1F5AA-B871-4F09-B043-17B4DF343442}" name="Nº of males"/>
    <tableColumn id="32" xr3:uid="{10F1649F-E1D4-469D-8145-6EAD1900C185}" name="Nº samples  " dataDxfId="34"/>
    <tableColumn id="33" xr3:uid="{682ADB58-B930-4DCC-8041-EDBA1F7DEB8C}" name="American Indian/Alaska Native" dataDxfId="33"/>
    <tableColumn id="34" xr3:uid="{D9F1CC31-9F49-468C-A721-FE73DFED62FA}" name="Asian" dataDxfId="32"/>
    <tableColumn id="35" xr3:uid="{C2BDC92C-6CF9-437E-B7BB-D7D9AAB968DA}" name="Black or African American" dataDxfId="31"/>
    <tableColumn id="36" xr3:uid="{4ED5B12F-C680-4E40-9566-B319322ACC67}" name="White" dataDxfId="30"/>
    <tableColumn id="37" xr3:uid="{143A34B6-8D25-4E3E-853E-FBA9E6E61792}" name="Native Hawaiian or Other Pacific Islander" dataDxfId="29"/>
    <tableColumn id="38" xr3:uid="{4ECA2FFC-6972-495A-82BA-929BB6382B33}" name="Other " dataDxfId="28"/>
    <tableColumn id="39" xr3:uid="{2720EA6B-A178-4BD1-8191-A659FD220D8C}" name="NA" dataDxfId="27"/>
    <tableColumn id="40" xr3:uid="{14285FA5-17A1-4B27-8FD9-EF4E5323EE3B}" name="Total of samples (N)" dataDxfId="26"/>
    <tableColumn id="41" xr3:uid="{B0CE46E3-F2E7-4B78-9A59-95AB7FC3912F}" name="Hispanic or Latino" dataDxfId="25"/>
    <tableColumn id="42" xr3:uid="{EA2E7D8A-D638-4733-B0FA-7BFECE801CD6}" name="Not Hispanic or Latino" dataDxfId="24"/>
    <tableColumn id="43" xr3:uid="{C5DC4973-484A-4866-AD78-56C7748FEEC0}" name="NA " dataDxfId="23"/>
    <tableColumn id="44" xr3:uid="{DC78A0F6-2F23-422B-905E-51800A564635}" name="Total of samples (N)    " dataDxfId="22"/>
    <tableColumn id="3" xr3:uid="{87B68F96-8F0D-4910-9C8E-8AB6DFCF356C}" name="Assay type" dataDxfId="1" dataCellStyle="Hiperligação"/>
    <tableColumn id="11" xr3:uid="{809D090D-0E96-4859-A381-CC9A0FC048DC}" name="Data types" dataDxfId="0" dataCellStyle="Hiperligação"/>
    <tableColumn id="45" xr3:uid="{2E968374-57D8-4068-84F2-45C497F667EC}" name="Genotyping Platform" dataDxfId="21"/>
    <tableColumn id="46" xr3:uid="{1FE595DE-9681-4CB6-87FE-4D20230D0EBB}" name="Target capture kit" dataDxfId="20"/>
    <tableColumn id="47" xr3:uid="{315E74D4-281F-4497-B4C5-B1210177AE4E}" name="Genotyped" dataDxfId="19"/>
    <tableColumn id="57" xr3:uid="{E6053EF5-86E8-48DA-A28E-4476A8098D72}" name="22" dataDxfId="18"/>
    <tableColumn id="48" xr3:uid="{F50531B8-38AB-4535-8BAB-801A64F2843E}" name="23" dataDxfId="17"/>
    <tableColumn id="49" xr3:uid="{1423E5E0-E299-4A86-A7D6-AEDA290A8A68}" name="24" dataDxfId="16"/>
    <tableColumn id="50" xr3:uid="{E89246A9-1569-43A2-BC04-33E17A83A03B}" name="33" dataDxfId="15"/>
    <tableColumn id="51" xr3:uid="{E3A3DB65-F999-4A8D-A5EF-F21719353C55}" name="34" dataDxfId="14"/>
    <tableColumn id="52" xr3:uid="{0BACC903-F216-4408-ACF8-B55BD17A1742}" name="44" dataDxfId="13"/>
    <tableColumn id="53" xr3:uid="{0E8727F1-E5B5-4BC8-BAB6-69B3E33615F4}" name="NA  " dataDxfId="12"/>
    <tableColumn id="54" xr3:uid="{E5099F04-9117-4DFD-803F-78DA493D9B3F}" name="Total of samples (N)  " dataDxfId="11"/>
    <tableColumn id="64" xr3:uid="{E2E599AD-1841-429B-AF1F-EB203826E213}" name=" ε4% AD Cases" dataDxfId="10"/>
    <tableColumn id="65" xr3:uid="{25158E0D-C0D5-44E7-A5D3-3825D4D95089}" name="ε4% Controls" dataDxfId="9"/>
    <tableColumn id="63" xr3:uid="{4CF74810-C205-4E0A-949F-D52ABDBE0DA4}" name="Total of samples (N) " dataDxfId="8"/>
    <tableColumn id="55" xr3:uid="{E5855047-0713-431D-9760-1EAA1C249C1E}" name="Format" dataDxfId="7"/>
    <tableColumn id="62" xr3:uid="{15A9DE97-E55A-424B-A95A-7D9B353B70D1}" name="Notas" dataDxfId="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A3385E-5051-460D-898E-85E7F153615A}" name="Tabela17" displayName="Tabela17" ref="A5:AL59" totalsRowShown="0" headerRowDxfId="185" dataDxfId="184">
  <autoFilter ref="A5:AL59" xr:uid="{19A3385E-5051-460D-898E-85E7F153615A}"/>
  <tableColumns count="38">
    <tableColumn id="1" xr3:uid="{6FA4629D-3BBF-4D77-928C-C04F91BF5804}" name="Study Name" dataDxfId="183"/>
    <tableColumn id="40" xr3:uid="{6ECD99A7-C603-4785-A293-6005ADA5AE2D}" name="Website/ citation" dataDxfId="182"/>
    <tableColumn id="2" xr3:uid="{02F13F6C-5129-4243-8558-A22BA7915D9E}" name="NG00022" dataDxfId="181"/>
    <tableColumn id="3" xr3:uid="{7FA529D1-699E-43F1-9AA7-70646F5C0A19}" name="NG00023" dataDxfId="180"/>
    <tableColumn id="4" xr3:uid="{40108D01-B134-40D5-B85F-C083A371D09E}" name="NG00024" dataDxfId="179"/>
    <tableColumn id="5" xr3:uid="{C7B7372A-9728-4068-9F1A-49B88EBEC58D}" name="NG00035" dataDxfId="178"/>
    <tableColumn id="28" xr3:uid="{BC94594C-2293-4F36-935A-B7869AC66FC4}" name="NG00050" dataDxfId="177"/>
    <tableColumn id="44" xr3:uid="{33D42224-860D-4F3F-A225-300A54DD2492}" name="NG00067" dataDxfId="176"/>
    <tableColumn id="45" xr3:uid="{B53D1BDC-9E63-41DB-AF3D-E8A5334DB293}" name="NG00068" dataDxfId="175"/>
    <tableColumn id="46" xr3:uid="{5730195A-A30E-4B19-9584-601476A39A6F}" name="NG00069" dataDxfId="174"/>
    <tableColumn id="43" xr3:uid="{27F4F5B9-5108-47D9-ACC7-1737EAE67FD4}" name="NG00070" dataDxfId="173"/>
    <tableColumn id="42" xr3:uid="{D3078BD6-E024-4861-A218-982267D6191E}" name="NG00071" dataDxfId="172"/>
    <tableColumn id="41" xr3:uid="{AF7FE56A-86F1-4626-A6AB-1FFC04E70B13}" name="NG00102" dataDxfId="171"/>
    <tableColumn id="49" xr3:uid="{900C60EB-0472-4D5D-A3D4-36E4333D16C4}" name="NG00105" dataDxfId="170"/>
    <tableColumn id="48" xr3:uid="{6FF2255D-8C74-44B8-BC6F-ED1840D09699}" name="NG00106" dataDxfId="169"/>
    <tableColumn id="47" xr3:uid="{97BB9652-EF09-49AF-8AC7-C72126978AEC}" name="NG00108" dataDxfId="168"/>
    <tableColumn id="50" xr3:uid="{E4E96281-11C9-4DB0-B5F3-E0E594E23573}" name="NG00113" dataDxfId="167"/>
    <tableColumn id="51" xr3:uid="{7190D61E-C9D0-4964-9BAD-AD0983E952B6}" name="NG00114" dataDxfId="166"/>
    <tableColumn id="52" xr3:uid="{870E49C2-81A1-4BBD-8227-4E1BEBEC1D26}" name="NG00116" dataDxfId="165"/>
    <tableColumn id="12" xr3:uid="{56C01E1C-93E6-426A-8A78-0CE5EAF24248}" name="NG00118" dataDxfId="164"/>
    <tableColumn id="25" xr3:uid="{042E39A6-0F26-46FD-8C55-85CC9C2C3419}" name="NG00119" dataDxfId="163"/>
    <tableColumn id="33" xr3:uid="{F44BA415-97D7-4A49-8AFC-F79EBC27A4B0}" name="NG00127" dataDxfId="162"/>
    <tableColumn id="34" xr3:uid="{DD09A172-204B-4513-87D2-BAD787FA7276}" name="NG00128" dataDxfId="161"/>
    <tableColumn id="26" xr3:uid="{261ED065-FA09-4223-AAA8-F21A6BC0A975}" name="NG00132" dataDxfId="160"/>
    <tableColumn id="13" xr3:uid="{2C6AEAE8-7D60-41C2-B543-940EFB384F9B}" name="NG00136" dataDxfId="159"/>
    <tableColumn id="14" xr3:uid="{E27E79DD-3644-41F7-BD3A-7ADF9161209E}" name="NG00137" dataDxfId="158"/>
    <tableColumn id="15" xr3:uid="{AD59D7A0-DF84-42E7-A97E-BBE92B63199B}" name="NG00138" dataDxfId="157"/>
    <tableColumn id="16" xr3:uid="{1966B773-0361-42BA-BAED-425B5A5D1310}" name="NG00139" dataDxfId="156"/>
    <tableColumn id="17" xr3:uid="{D4F259D9-327B-4966-94BF-0766A347DF92}" name="NG00140" dataDxfId="155"/>
    <tableColumn id="35" xr3:uid="{6B27D664-0DB5-4AB1-B464-35848B2EC50C}" name="NG00142" dataDxfId="154"/>
    <tableColumn id="18" xr3:uid="{07CD9EDB-DDB0-4C50-811E-CE29FFAA20D5}" name="NG00149" dataDxfId="153"/>
    <tableColumn id="20" xr3:uid="{821ECFAA-C02E-4DEE-B779-4CD57CCF0FA1}" name="NG00150" dataDxfId="152"/>
    <tableColumn id="21" xr3:uid="{A7EA0D10-51D6-4CF4-9A09-89F8042F7134}" name="NG00151" dataDxfId="151"/>
    <tableColumn id="27" xr3:uid="{68F2BA0D-27D1-4D1F-B544-07E0E99E3C37}" name="NG00153" dataDxfId="150"/>
    <tableColumn id="37" xr3:uid="{2599FA4E-CFB2-4136-A7F4-8D489334AD71}" name="NG00167" dataDxfId="149"/>
    <tableColumn id="36" xr3:uid="{FE74AE37-55FA-4735-A79F-8E81E6957FBF}" name="NG00168" dataDxfId="148"/>
    <tableColumn id="24" xr3:uid="{ABE57BA7-8959-441B-BD40-21C84B938473}" name="NG00171" dataDxfId="147"/>
    <tableColumn id="19" xr3:uid="{6E089339-16E2-4B2F-A921-633A848FEC16}" name="NG00176" dataDxfId="14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51801-BBA4-4D66-B02E-45E834BE2F30}" name="Tabela463" displayName="Tabela463" ref="A6:J42" totalsRowShown="0" headerRowDxfId="145">
  <autoFilter ref="A6:J42" xr:uid="{E8A51801-BBA4-4D66-B02E-45E834BE2F30}"/>
  <tableColumns count="10">
    <tableColumn id="1" xr3:uid="{A93FA139-82A4-465E-BFC4-3A04E95855B7}" name="Study name" dataDxfId="144"/>
    <tableColumn id="2" xr3:uid="{BB34C0AB-FEF0-4F50-B320-3B5BA8379C97}" name="Website/ citation" dataDxfId="143"/>
    <tableColumn id="6" xr3:uid="{F914CE8D-72F6-4FFC-A5E0-6348D68F6036}" name="Nº of Subjects" dataDxfId="142"/>
    <tableColumn id="51" xr3:uid="{6BF95594-6BD6-4461-B699-A7A967D57BC6}" name="Nº of Samples" dataDxfId="141"/>
    <tableColumn id="4" xr3:uid="{A018CCC8-1A06-4246-8FF7-E9C9B9DB9D5D}" name="Assay type" dataDxfId="60"/>
    <tableColumn id="54" xr3:uid="{EC2B4B27-BA6A-4CFB-B268-48FA38DFCCF2}" name="Data types" dataDxfId="59"/>
    <tableColumn id="23" xr3:uid="{6E94C51B-C738-4C0C-A584-D107F6FB7230}" name="Genotyping Platform  " dataDxfId="140"/>
    <tableColumn id="24" xr3:uid="{1EF96138-E822-4CA1-B7AD-5F9F673EF9A1}" name="Target capture kit" dataDxfId="139"/>
    <tableColumn id="7" xr3:uid="{9CA4691A-E8E8-4FA4-9304-CCB5A240F175}" name="Reference panel" dataDxfId="138"/>
    <tableColumn id="28" xr3:uid="{1A5D37F1-4D35-4942-B0E8-E1507518D59A}" name="Format" dataDxfId="13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6E52E1-0891-4A31-A378-ADBD6D195FD0}" name="Tabela18" displayName="Tabela18" ref="A5:BV59" totalsRowShown="0" headerRowDxfId="136" dataDxfId="135">
  <autoFilter ref="A5:BV59" xr:uid="{D66E52E1-0891-4A31-A378-ADBD6D195FD0}"/>
  <tableColumns count="74">
    <tableColumn id="1" xr3:uid="{14DC5B7A-6EBA-4F11-89BA-7F55145823B9}" name="Study Name" dataDxfId="134"/>
    <tableColumn id="40" xr3:uid="{6ADE7F2C-6046-42D7-ADFC-6738A273A50F}" name="Website/ citation" dataDxfId="133"/>
    <tableColumn id="39" xr3:uid="{51804D49-E894-4BEC-80D4-2D51C5C96275}" name="snd10000" dataDxfId="132"/>
    <tableColumn id="2" xr3:uid="{B11E2358-F78C-4DC9-9558-FA7B587F7F79}" name="snd10001" dataDxfId="131"/>
    <tableColumn id="76" xr3:uid="{0AE76D3A-A7B0-44CC-B755-6FA732BE0C1C}" name="snd10002" dataDxfId="130"/>
    <tableColumn id="77" xr3:uid="{D2649CFC-539E-450B-86A6-301BEC13F1F8}" name="snd10003" dataDxfId="129"/>
    <tableColumn id="111" xr3:uid="{8D8630F2-D9EE-49EC-8E28-786ADAA62D11}" name="snd10004" dataDxfId="128"/>
    <tableColumn id="112" xr3:uid="{8096E6EC-7FFC-4294-96BE-554148D11FE8}" name="snd10005" dataDxfId="127"/>
    <tableColumn id="113" xr3:uid="{319FD391-2D03-4F75-9D77-586AFDEF1F1D}" name="snd10006" dataDxfId="126"/>
    <tableColumn id="114" xr3:uid="{792F9A86-B06B-433D-93B1-BA8B00F4296B}" name="snd10007" dataDxfId="125"/>
    <tableColumn id="115" xr3:uid="{B1C5A17B-1BC4-44F3-B42A-EEBC85B423D9}" name="snd10008" dataDxfId="124"/>
    <tableColumn id="116" xr3:uid="{AA64E341-AB70-4C7C-A1F1-FA5D8A1D3F39}" name="snd10009" dataDxfId="123"/>
    <tableColumn id="117" xr3:uid="{752967CF-4C3B-41CA-ADDA-BD4E03C37728}" name="snd10010" dataDxfId="122"/>
    <tableColumn id="118" xr3:uid="{D5E03D5B-ED14-4925-A159-1DF5EA33828D}" name="snd10011" dataDxfId="121"/>
    <tableColumn id="119" xr3:uid="{F575FBC5-5C31-490D-BE33-284F3CCBD030}" name="snd10013" dataDxfId="120"/>
    <tableColumn id="121" xr3:uid="{C3B7C0F5-0B3D-4950-BDEC-B32B532A88D6}" name="snd10014" dataDxfId="119"/>
    <tableColumn id="122" xr3:uid="{E4979D74-5B70-49CF-BA8B-94E5E8ED0F80}" name="snd10015" dataDxfId="118"/>
    <tableColumn id="78" xr3:uid="{D2E86E52-C0FB-4F6E-9393-BF5777785FB8}" name="snd10016" dataDxfId="117"/>
    <tableColumn id="79" xr3:uid="{A29180E3-1B60-4778-BEB2-788D294FD3D4}" name="snd10017" dataDxfId="116"/>
    <tableColumn id="80" xr3:uid="{1DBDBA86-0F20-45E1-BB8D-22460C8DB68C}" name="snd10018" dataDxfId="115"/>
    <tableColumn id="81" xr3:uid="{747B2052-47AD-4AFF-A61F-9CA36B723650}" name="snd10019" dataDxfId="114"/>
    <tableColumn id="82" xr3:uid="{BFAF2A48-2333-4B54-9234-5A0D1029C987}" name="snd10020" dataDxfId="113"/>
    <tableColumn id="83" xr3:uid="{3D8BA189-E42E-4078-867F-B6DA5BFDF7AF}" name="snd10021" dataDxfId="112"/>
    <tableColumn id="84" xr3:uid="{0EC736E3-81CC-4353-B067-172F9939A6F4}" name="snd10022" dataDxfId="111"/>
    <tableColumn id="85" xr3:uid="{60CF955C-E6A6-4FB7-B9C5-A3167F0764E2}" name="snd10023" dataDxfId="110"/>
    <tableColumn id="86" xr3:uid="{0073C0F7-623A-4776-B032-AAED88FBF5DC}" name="snd10024" dataDxfId="109"/>
    <tableColumn id="87" xr3:uid="{394B5715-E5CF-4CAB-88F6-C94DA712E697}" name="snd10025" dataDxfId="108"/>
    <tableColumn id="89" xr3:uid="{25C2BC52-776A-425C-9725-F0537B864D21}" name="snd10027" dataDxfId="107"/>
    <tableColumn id="90" xr3:uid="{D7C1079C-E789-412C-B0C1-E0F546097FAD}" name="snd10028" dataDxfId="106"/>
    <tableColumn id="92" xr3:uid="{A4E2E5BA-3F61-4866-88CB-7262C56372D7}" name="snd10030" dataDxfId="105"/>
    <tableColumn id="93" xr3:uid="{C142D312-283B-4BC1-94D5-0B65F5AFD1BD}" name="snd10031" dataDxfId="104"/>
    <tableColumn id="94" xr3:uid="{63977E45-AFC4-4E27-8087-FCC370A188BD}" name="snd10032" dataDxfId="103"/>
    <tableColumn id="95" xr3:uid="{31CE422B-A530-4442-AB18-3DE68712D825}" name="snd10033" dataDxfId="102"/>
    <tableColumn id="98" xr3:uid="{B8D5EC52-81AC-475B-9CDE-0500225EE99C}" name="snd10036" dataDxfId="101"/>
    <tableColumn id="100" xr3:uid="{796645BE-CE9A-4712-9220-B8DA470007C3}" name="snd10038" dataDxfId="100"/>
    <tableColumn id="102" xr3:uid="{164304E2-1541-4C9E-A80F-DFCAEAE3F6CB}" name="snd10040" dataDxfId="99"/>
    <tableColumn id="103" xr3:uid="{7ED9D9DF-B03E-4222-8E50-0518AA5ADA4D}" name="snd10041" dataDxfId="98"/>
    <tableColumn id="104" xr3:uid="{DEE293FA-CDF4-4851-9CB1-CAE92CBDC35E}" name="snd10048" dataDxfId="97"/>
    <tableColumn id="105" xr3:uid="{CACD7F25-D4FB-466D-A299-D882619DA671}" name="snd10055" dataDxfId="96"/>
    <tableColumn id="106" xr3:uid="{CCCCE31F-7E36-4B34-94C5-6C54DE63531D}" name="snd10057" dataDxfId="95"/>
    <tableColumn id="107" xr3:uid="{1805F9CC-3995-4FCC-8FCC-DC8821C35F0D}" name="snd10058" dataDxfId="94"/>
    <tableColumn id="108" xr3:uid="{D8632B68-4180-46E3-95CD-67A737EFCE77}" name="snd10059" dataDxfId="93"/>
    <tableColumn id="109" xr3:uid="{8C6F0E90-A71A-49D1-901E-BCC6E72F5865}" name="snd10060" dataDxfId="92"/>
    <tableColumn id="110" xr3:uid="{29C3FBBA-D634-46D9-8589-0F45BFFD2790}" name="snd10061" dataDxfId="91"/>
    <tableColumn id="3" xr3:uid="{6FAAA3E6-4A24-47D8-8916-FCAC79857AF2}" name="snd10062" dataDxfId="90"/>
    <tableColumn id="4" xr3:uid="{C7964880-F67F-4CBA-A9EA-E6237A888BD2}" name="snd10063" dataDxfId="89"/>
    <tableColumn id="5" xr3:uid="{92E6763F-4F49-4971-877E-94063ACEB41F}" name="snd10064" dataDxfId="88"/>
    <tableColumn id="28" xr3:uid="{3D4F7C0D-FECF-4A50-959A-154938C88CA6}" name="snd10065" dataDxfId="87"/>
    <tableColumn id="44" xr3:uid="{AD53D613-1B46-4EF5-97F1-C3DAE533B862}" name="snd10066" dataDxfId="86"/>
    <tableColumn id="45" xr3:uid="{25A9B14B-CB69-409E-A76A-E85DCFADD673}" name="snd10067" dataDxfId="85"/>
    <tableColumn id="46" xr3:uid="{EFF45743-E7F3-4613-B9A2-D865108ADCCF}" name="snd10068" dataDxfId="84"/>
    <tableColumn id="43" xr3:uid="{D6265350-549F-4638-BB40-69D698F81944}" name="snd10069" dataDxfId="83"/>
    <tableColumn id="42" xr3:uid="{6201EF2A-2D4F-4403-AECC-44A68136507C}" name="snd10070" dataDxfId="82"/>
    <tableColumn id="41" xr3:uid="{C3E12455-80C8-43A0-8618-95AB9E7819BA}" name="snd10071" dataDxfId="81"/>
    <tableColumn id="49" xr3:uid="{C2334FBD-C219-4D1E-B597-9734FDA4374C}" name="snd10072" dataDxfId="80"/>
    <tableColumn id="48" xr3:uid="{73A79CA2-81CA-4FC7-8B14-3B691721E605}" name="snd10074" dataDxfId="79"/>
    <tableColumn id="47" xr3:uid="{35C6F2F4-F553-4868-811C-6A7689D9035C}" name="snd10082" dataDxfId="78"/>
    <tableColumn id="50" xr3:uid="{DEF4B0F3-0EEA-4D05-B693-98C774A2A867}" name="snd10085" dataDxfId="77"/>
    <tableColumn id="51" xr3:uid="{5E94B8A8-CF86-4B0C-96E7-87997649D9FC}" name="snd10092" dataDxfId="76"/>
    <tableColumn id="52" xr3:uid="{88554E30-C99C-4C89-8421-6EA31DBE8C3C}" name="snd10093" dataDxfId="75"/>
    <tableColumn id="12" xr3:uid="{08ED8FAE-B52C-44A0-A6E0-71247B375416}" name="snd10094" dataDxfId="74"/>
    <tableColumn id="25" xr3:uid="{1786ADF1-8CB3-415F-B227-D7137E5E11F5}" name="snd10095" dataDxfId="73"/>
    <tableColumn id="33" xr3:uid="{AD942A85-F287-4E95-B5D4-8229D30E8E88}" name="snd10098" dataDxfId="72"/>
    <tableColumn id="34" xr3:uid="{62C35590-A39A-49F3-B4D6-D7CF6CAF1935}" name="snd10101" dataDxfId="71"/>
    <tableColumn id="26" xr3:uid="{A0C3602C-4064-4338-8984-1E7401634DC4}" name="snd10103" dataDxfId="70"/>
    <tableColumn id="13" xr3:uid="{AE3891C6-543A-45CE-A583-6DE7954E6DB0}" name="snd10104" dataDxfId="69"/>
    <tableColumn id="14" xr3:uid="{188E462F-5DBC-4263-8E0E-4BC2380F8C06}" name="snd10105" dataDxfId="68"/>
    <tableColumn id="15" xr3:uid="{F14D7E05-3736-4644-A624-A6935675F859}" name="snd10106" dataDxfId="67"/>
    <tableColumn id="16" xr3:uid="{6D99766B-6C25-4ADD-9E99-DD0466360DF6}" name="snd10111" dataDxfId="66"/>
    <tableColumn id="17" xr3:uid="{2DAF75E0-B890-4568-97C2-15EC27612855}" name="snd10112" dataDxfId="65"/>
    <tableColumn id="35" xr3:uid="{DA6488E9-DB3D-45B6-81F3-78B600485BBA}" name="snd10117" dataDxfId="64"/>
    <tableColumn id="18" xr3:uid="{A572FB03-B75D-49EB-B2AD-49AAC82FE7D6}" name="snd10126" dataDxfId="63"/>
    <tableColumn id="20" xr3:uid="{463EC1B4-4DF2-44B9-BE8B-627158155B62}" name="snd10127" dataDxfId="62"/>
    <tableColumn id="21" xr3:uid="{C83A449F-FCDB-4225-B396-0A969FC1E9B4}" name="snd10139" dataDxfId="6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D95798-2CDE-4783-83F2-8E482E6FA3CC}" name="Tabela46" displayName="Tabela46" ref="A7:BO79" totalsRowShown="0" headerRowDxfId="341">
  <autoFilter ref="A7:BO79" xr:uid="{5BD95798-2CDE-4783-83F2-8E482E6FA3CC}"/>
  <tableColumns count="67">
    <tableColumn id="1" xr3:uid="{73E70FF2-16BD-445E-A0C7-A3277F3C1D95}" name="Study name" dataDxfId="340" totalsRowDxfId="339"/>
    <tableColumn id="2" xr3:uid="{45713D78-D353-4CF2-8EDC-F63935C98795}" name="Website/ citation"/>
    <tableColumn id="6" xr3:uid="{EB0FB461-5B17-41D0-BAD1-36585B89F632}" name="Samples (N)" dataDxfId="338" totalsRowDxfId="337"/>
    <tableColumn id="51" xr3:uid="{838D4546-F329-4110-9D3D-4D800C0E7127}" name="Samples after QC (N)" dataDxfId="336" totalsRowDxfId="335"/>
    <tableColumn id="7" xr3:uid="{F36C140F-9289-451D-8EE1-F094D19FBDC0}" name="AD Case" dataDxfId="334" totalsRowDxfId="333"/>
    <tableColumn id="8" xr3:uid="{5F179F29-CA01-4EA3-A158-0BAE3E92EF4E}" name="AD Control" dataDxfId="332" totalsRowDxfId="331"/>
    <tableColumn id="9" xr3:uid="{BA7BD99C-3227-4E6E-9E76-F1B74EFEAC48}" name="AD Other" dataDxfId="330" totalsRowDxfId="329"/>
    <tableColumn id="44" xr3:uid="{16E6DB27-84F1-4EE5-98D5-9F8B9C027FC7}" name="AD Unknown" dataDxfId="328" totalsRowDxfId="327"/>
    <tableColumn id="55" xr3:uid="{AF2BBAA9-2BD7-4C0A-9424-63FD6B66AA3E}" name="PSP Case" dataDxfId="326" totalsRowDxfId="325"/>
    <tableColumn id="58" xr3:uid="{D843721C-EEA8-43DE-A66D-E908CFFBDE50}" name="PSP Control" dataDxfId="324" totalsRowDxfId="323"/>
    <tableColumn id="57" xr3:uid="{4E4598A1-D172-474C-9284-9805A7162EF7}" name="CBD Case" dataDxfId="322" totalsRowDxfId="321"/>
    <tableColumn id="65" xr3:uid="{EC7C9DD6-1460-4F6F-A208-C24EABF0DD61}" name="Neurological and Psychiatric Brain Disorders Case" dataDxfId="320" totalsRowDxfId="319"/>
    <tableColumn id="64" xr3:uid="{B2BEA7CE-BA9A-4444-B325-C06FC9945C56}" name="Neurological and Psychiatric Brain Disorders Control" dataDxfId="318" totalsRowDxfId="317"/>
    <tableColumn id="70" xr3:uid="{CC3477D9-6C8A-46F7-95B0-93C105DD34D7}" name="ADRD* Case" dataDxfId="316" totalsRowDxfId="315"/>
    <tableColumn id="69" xr3:uid="{1D9C3E3E-A38D-4E8D-ADDB-66BC8E6732DA}" name="ADRD* Control" dataDxfId="314" totalsRowDxfId="313"/>
    <tableColumn id="68" xr3:uid="{3CFC0822-9AC0-440C-BFEF-DE925A473B91}" name="ADRD* Other" dataDxfId="312" totalsRowDxfId="311"/>
    <tableColumn id="71" xr3:uid="{961AB119-CF99-42AE-83D4-D244BFAF644C}" name="DLB Case" dataDxfId="310" totalsRowDxfId="309"/>
    <tableColumn id="72" xr3:uid="{137AB60D-B4D8-409E-8486-81F2EE0E1201}" name="FTD Case" dataDxfId="308" totalsRowDxfId="307"/>
    <tableColumn id="73" xr3:uid="{916DB0F8-2920-448A-84A3-CEE87F4C8D89}" name="PD Case" dataDxfId="306" totalsRowDxfId="305"/>
    <tableColumn id="76" xr3:uid="{4BC3D477-9CC6-4FA1-9823-58B4CA30320C}" name="Covid-19 Case" dataDxfId="304" totalsRowDxfId="303"/>
    <tableColumn id="75" xr3:uid="{EE9C98C5-E3C0-4789-B7A3-CBEEC8C70DD8}" name="Covid-19 Control" dataDxfId="302" totalsRowDxfId="301"/>
    <tableColumn id="80" xr3:uid="{F302CB7E-18A7-4D7C-86B4-E2990030A092}" name="Dementia Case" dataDxfId="300" totalsRowDxfId="299"/>
    <tableColumn id="79" xr3:uid="{6B18D72C-BA50-4737-AC4F-35ED3B4D0F63}" name="Dementia Control" dataDxfId="298" totalsRowDxfId="297"/>
    <tableColumn id="53" xr3:uid="{BBA42F5A-4384-408C-BEDD-309DB547FC41}" name="NA Unknown" dataDxfId="296" totalsRowDxfId="295"/>
    <tableColumn id="74" xr3:uid="{E3D7820C-8510-4ABB-A02B-1C4BE475FDAD}" name="Other Case" dataDxfId="294" totalsRowDxfId="293"/>
    <tableColumn id="56" xr3:uid="{61057E2B-7653-43E6-ADB1-722ABD5C83C4}" name="Other - Other" dataDxfId="292" totalsRowDxfId="291"/>
    <tableColumn id="52" xr3:uid="{292194D3-CABF-49E2-A9D7-168CA8211AA2}" name="Nº Samples" dataDxfId="290" totalsRowDxfId="289"/>
    <tableColumn id="10" xr3:uid="{873E4714-35BE-42B2-99DF-499A6F8E0C50}" name="Females (%)" dataDxfId="288" totalsRowDxfId="287"/>
    <tableColumn id="11" xr3:uid="{F852C393-2A43-4393-9E8D-9257301603C2}" name="Males (%)" dataDxfId="286" totalsRowDxfId="285"/>
    <tableColumn id="3" xr3:uid="{95C71205-BFE6-4AB0-A41B-6BB467CAEFBA}" name="Females (N)" dataDxfId="284" totalsRowDxfId="283">
      <calculatedColumnFormula>Tabela46[[#This Row],[Total of samples (N)  ]]*Tabela46[[#This Row],[Females (%)]]</calculatedColumnFormula>
    </tableColumn>
    <tableColumn id="5" xr3:uid="{E0C39DFE-89C9-4F65-BB09-DEC4D74B3DC7}" name="Males (N)" dataDxfId="282" totalsRowDxfId="281">
      <calculatedColumnFormula>Tabela46[[#This Row],[Total of samples (N)  ]]*AC8</calculatedColumnFormula>
    </tableColumn>
    <tableColumn id="48" xr3:uid="{4748506B-8617-43A6-8062-776E20EB4483}" name="Total of samples (N)  " dataDxfId="280" totalsRowDxfId="279"/>
    <tableColumn id="12" xr3:uid="{857BC3D0-916C-47B6-BE68-6DC5C2D66118}" name="American Indian/Alaska Native" dataDxfId="278" totalsRowDxfId="277"/>
    <tableColumn id="13" xr3:uid="{519EC0DA-CB04-4FC3-9F2C-D0FFC9A1BA09}" name="Asian" dataDxfId="276" totalsRowDxfId="275"/>
    <tableColumn id="14" xr3:uid="{74E626B7-289B-4F2F-BA5D-FD06A2A14182}" name="Black or African American" dataDxfId="274" totalsRowDxfId="273"/>
    <tableColumn id="15" xr3:uid="{7C70496C-FDC5-48EA-94F8-5402893C99E2}" name="White" dataDxfId="272" totalsRowDxfId="271"/>
    <tableColumn id="16" xr3:uid="{EA739330-E86A-45DF-BC32-3574FE960E56}" name="Native Hawaiian or Other Pacific Islander" dataDxfId="270" totalsRowDxfId="269"/>
    <tableColumn id="17" xr3:uid="{2D4622FD-21D9-45DE-B7C6-09C7E5C64035}" name="Other " dataDxfId="268" totalsRowDxfId="267"/>
    <tableColumn id="18" xr3:uid="{69802154-D5F3-4769-883F-628F18111D73}" name="NA" dataDxfId="266" totalsRowDxfId="265"/>
    <tableColumn id="47" xr3:uid="{951584FC-461E-483D-BAAE-F6A776A98340}" name="Total of samples (N)    " dataDxfId="264" totalsRowDxfId="263"/>
    <tableColumn id="19" xr3:uid="{FC6E6DDB-3FF4-41F6-AF9C-82609B9D3361}" name="Hispanic or Latino (%)" dataDxfId="262" totalsRowDxfId="261"/>
    <tableColumn id="20" xr3:uid="{EBFAB589-E393-4C2C-B002-E78497B90D7A}" name="Not Hispanic or Latino (%)" dataDxfId="260" totalsRowDxfId="259"/>
    <tableColumn id="21" xr3:uid="{15C19DE9-E54D-47D4-87F4-30360EA86E8B}" name="NA (%) " dataDxfId="258"/>
    <tableColumn id="22" xr3:uid="{57B5A33D-17F8-48B2-83EE-A9A790D532E9}" name="Hispanic or Latino (N)" dataDxfId="257" totalsRowDxfId="256"/>
    <tableColumn id="26" xr3:uid="{FD05AC29-E22B-4EB1-8527-10943AB216F0}" name="Not Hispanic or Latino (N)" dataDxfId="255" totalsRowDxfId="254">
      <calculatedColumnFormula>Tabela46[[#This Row],[Total of samples (N)]]*Tabela46[[#This Row],[Not Hispanic or Latino (%)]]</calculatedColumnFormula>
    </tableColumn>
    <tableColumn id="29" xr3:uid="{EA409733-C4A0-4160-A1E7-0FABC278E2C6}" name="NA (N)" dataDxfId="253" totalsRowDxfId="252">
      <calculatedColumnFormula>Tabela46[[#This Row],[Total of samples (N)]]*Tabela46[[#This Row],[NA (%) ]]</calculatedColumnFormula>
    </tableColumn>
    <tableColumn id="45" xr3:uid="{7CC16B96-41DE-451E-B1B3-A5F61E4442DF}" name="Total of samples (N)" dataDxfId="251"/>
    <tableColumn id="4" xr3:uid="{906AF1F6-90B2-4C9F-B431-293EFC8FBA87}" name="Genomic Assay" dataDxfId="56" totalsRowDxfId="58"/>
    <tableColumn id="54" xr3:uid="{BF72AE88-7AFC-4A44-AA7D-D1EDC51A03CC}" name="Data types" dataDxfId="55" totalsRowDxfId="57"/>
    <tableColumn id="23" xr3:uid="{C4FE29BF-2AFD-4163-822F-440279B8524E}" name="Genotyping Platform" dataDxfId="250" totalsRowDxfId="249"/>
    <tableColumn id="24" xr3:uid="{25D71806-00EF-42C3-A053-6754CB5B3DF3}" name="Target capture kit" dataDxfId="248" totalsRowDxfId="247"/>
    <tableColumn id="27" xr3:uid="{DC34D47B-4D36-4846-A89B-03E49EC5580C}" name="22 (%)" dataDxfId="246" totalsRowDxfId="245"/>
    <tableColumn id="37" xr3:uid="{D0862C96-90EC-4C56-95AB-4CC2CB151262}" name="23 (%)" dataDxfId="244" totalsRowDxfId="243"/>
    <tableColumn id="38" xr3:uid="{3B0D3E51-F1DB-4C7C-B750-14FE84F8EE90}" name="24 (%)" dataDxfId="242" totalsRowDxfId="241"/>
    <tableColumn id="39" xr3:uid="{415E84B0-8297-4707-9E8C-C0FD196F63CA}" name="33 (%)" dataDxfId="240" totalsRowDxfId="239"/>
    <tableColumn id="34" xr3:uid="{93A90C9F-E79A-4329-80F9-D9A6CD76B244}" name="34 (%)" dataDxfId="238" totalsRowDxfId="237"/>
    <tableColumn id="35" xr3:uid="{C9B9D5CC-9037-4234-B032-9AC864115989}" name="44 (%)" dataDxfId="236" totalsRowDxfId="235"/>
    <tableColumn id="49" xr3:uid="{DFB0B087-E077-4F57-81F0-96997B511161}" name="NA (%)" dataDxfId="234" totalsRowDxfId="233"/>
    <tableColumn id="59" xr3:uid="{8D3056D6-FAFA-4FED-91C0-423D7E444EEE}" name="22 (N)" dataDxfId="232" totalsRowDxfId="231">
      <calculatedColumnFormula>Tabela46[[#This Row],[Total of samples (N)  2]]*Tabela46[[#This Row],[22 (%)]]</calculatedColumnFormula>
    </tableColumn>
    <tableColumn id="46" xr3:uid="{80397CA6-0819-46DC-919F-48ACEE6AE07A}" name="23 (N)" dataDxfId="230" totalsRowDxfId="229">
      <calculatedColumnFormula>Tabela46[[#This Row],[Total of samples (N)  2]]*Tabela46[[#This Row],[23 (%)]]</calculatedColumnFormula>
    </tableColumn>
    <tableColumn id="43" xr3:uid="{59AF97A1-F474-4F02-B67B-3752C2864588}" name="24 (N)" dataDxfId="228" totalsRowDxfId="227">
      <calculatedColumnFormula>Tabela46[[#This Row],[Total of samples (N)  2]]*Tabela46[[#This Row],[24 (%)]]</calculatedColumnFormula>
    </tableColumn>
    <tableColumn id="42" xr3:uid="{571F89DC-B020-4172-BAF0-C67C9E21F702}" name="33 (N)" dataDxfId="226" totalsRowDxfId="225">
      <calculatedColumnFormula>Tabela46[[#This Row],[Total of samples (N)  2]]*Tabela46[[#This Row],[33 (%)]]</calculatedColumnFormula>
    </tableColumn>
    <tableColumn id="41" xr3:uid="{0D556CFD-A66D-497D-B27F-334CFF8DE1BA}" name="34 (N)" dataDxfId="224" totalsRowDxfId="223">
      <calculatedColumnFormula>Tabela46[[#This Row],[Total of samples (N)  2]]*Tabela46[[#This Row],[34 (%)]]</calculatedColumnFormula>
    </tableColumn>
    <tableColumn id="40" xr3:uid="{C0A12811-9D39-43BD-98DD-983FA318071B}" name="44 (N)" dataDxfId="222" totalsRowDxfId="221">
      <calculatedColumnFormula>Tabela46[[#This Row],[Total of samples (N)  2]]*Tabela46[[#This Row],[44 (%)]]</calculatedColumnFormula>
    </tableColumn>
    <tableColumn id="36" xr3:uid="{23B3F654-3929-41F7-A5D7-8495809F7069}" name="NA (N)2" dataDxfId="220" totalsRowDxfId="219">
      <calculatedColumnFormula>Tabela46[[#This Row],[Total of samples (N)  2]]*Tabela46[[#This Row],[NA (%)]]</calculatedColumnFormula>
    </tableColumn>
    <tableColumn id="50" xr3:uid="{8D5B520F-8D8B-4068-A9A9-2CA9F8B5E07A}" name="Total of samples (N)  2" dataDxfId="218" totalsRowDxfId="217"/>
    <tableColumn id="28" xr3:uid="{53ABCBA8-744F-4807-BB9B-58C13496AE2C}" name="Format" dataDxfId="216" totalsRowDxfId="215"/>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639373-C96A-4572-9C17-8B49D83F15A6}" name="Tabela49" displayName="Tabela49" ref="A88:W89" totalsRowShown="0" headerRowDxfId="214" dataDxfId="212" headerRowBorderDxfId="213" tableBorderDxfId="211" totalsRowBorderDxfId="210">
  <autoFilter ref="A88:W89" xr:uid="{04639373-C96A-4572-9C17-8B49D83F15A6}"/>
  <tableColumns count="23">
    <tableColumn id="2" xr3:uid="{01598DE4-C9AF-4E80-A5AE-D0DB3D1ADC63}" name="Females (N)" dataDxfId="209">
      <calculatedColumnFormula>SUM(Tabela46[Females (N)])</calculatedColumnFormula>
    </tableColumn>
    <tableColumn id="3" xr3:uid="{D9CAA9C6-FEB3-4CF6-A167-FE50A9DF0A71}" name="Males (N)" dataDxfId="208">
      <calculatedColumnFormula>SUM(Tabela46[Males (N)])</calculatedColumnFormula>
    </tableColumn>
    <tableColumn id="4" xr3:uid="{8ED53A3E-D044-436E-A7DE-5ECE42CEB0AF}" name="Total of samples (N)  " dataDxfId="207">
      <calculatedColumnFormula>SUM(Tabela49[[#This Row],[Females (N)]:[Males (N)]])</calculatedColumnFormula>
    </tableColumn>
    <tableColumn id="1" xr3:uid="{EC6529F1-FB2A-498C-9906-7D50BF4908AE}" name="American Indian/Alaska Native" dataDxfId="206">
      <calculatedColumnFormula>SUM(Tabela46[American Indian/Alaska Native])</calculatedColumnFormula>
    </tableColumn>
    <tableColumn id="5" xr3:uid="{E69C1C6D-6E3A-4CC1-A1B8-946BCEBE8B9A}" name="Asian" dataDxfId="205">
      <calculatedColumnFormula>SUM(Tabela46[Asian])</calculatedColumnFormula>
    </tableColumn>
    <tableColumn id="6" xr3:uid="{EA5EF845-82B4-4AD4-BD21-892C8A2B636B}" name="Black or African American" dataDxfId="204">
      <calculatedColumnFormula>SUM(Tabela46[Black or African American])</calculatedColumnFormula>
    </tableColumn>
    <tableColumn id="7" xr3:uid="{CFCD0EE9-137A-4406-95E0-B26CEAF1F607}" name="White" dataDxfId="203">
      <calculatedColumnFormula>SUM(Tabela46[White])</calculatedColumnFormula>
    </tableColumn>
    <tableColumn id="8" xr3:uid="{6B64B62A-3FAA-4051-A1EA-8BB1CE8071D6}" name="Native Hawaiian or Other Pacific Islander" dataDxfId="202">
      <calculatedColumnFormula>SUM(Tabela46[Native Hawaiian or Other Pacific Islander])</calculatedColumnFormula>
    </tableColumn>
    <tableColumn id="9" xr3:uid="{E102B6D1-6FAF-4B3A-8F59-7820BA9C06C1}" name="Other " dataDxfId="201">
      <calculatedColumnFormula>SUM(Tabela46[[Other ]])</calculatedColumnFormula>
    </tableColumn>
    <tableColumn id="10" xr3:uid="{8610789A-40F8-4C4C-A663-FFB63409A0C5}" name="NA" dataDxfId="200">
      <calculatedColumnFormula>SUM(Tabela46[NA])</calculatedColumnFormula>
    </tableColumn>
    <tableColumn id="11" xr3:uid="{28992A28-DD33-4E4C-A9EC-53E35A7475B5}" name="Total of samples (N)    " dataDxfId="199">
      <calculatedColumnFormula>SUM(Tabela49[[#This Row],[American Indian/Alaska Native]:[NA]])</calculatedColumnFormula>
    </tableColumn>
    <tableColumn id="13" xr3:uid="{38103BF0-00A0-483E-BB1A-E4E54BED52B3}" name="Hispanic or Latino (N)" dataDxfId="198">
      <calculatedColumnFormula>SUM(Tabela46[Hispanic or Latino (N)])</calculatedColumnFormula>
    </tableColumn>
    <tableColumn id="15" xr3:uid="{2F62016E-EA7D-4B02-B800-3214ED0B6C89}" name="Not Hispanic or Latino (N)" dataDxfId="197">
      <calculatedColumnFormula>SUM(Tabela46[Not Hispanic or Latino (N)])</calculatedColumnFormula>
    </tableColumn>
    <tableColumn id="17" xr3:uid="{DB2AD24B-54C4-4CE9-81B4-177B25D83FF1}" name="NA (N)" dataDxfId="196">
      <calculatedColumnFormula>SUM(Tabela46[NA (N)])</calculatedColumnFormula>
    </tableColumn>
    <tableColumn id="18" xr3:uid="{AF1B6137-1783-487E-8C61-F3D9CC415007}" name="Total of samples (N)" dataDxfId="195">
      <calculatedColumnFormula>SUM(Tabela49[[#This Row],[Hispanic or Latino (N)]:[NA (N)]])</calculatedColumnFormula>
    </tableColumn>
    <tableColumn id="19" xr3:uid="{E9569191-6603-4336-A8CB-59ED540231E2}" name="22" dataDxfId="194">
      <calculatedColumnFormula>SUM(Tabela46[22 (N)])</calculatedColumnFormula>
    </tableColumn>
    <tableColumn id="20" xr3:uid="{E1776C8F-0D97-4395-873F-FC6620E58F74}" name="23" dataDxfId="193">
      <calculatedColumnFormula>SUM(Tabela46[23 (N)])</calculatedColumnFormula>
    </tableColumn>
    <tableColumn id="21" xr3:uid="{E9EA0C35-9A6E-4DC0-825E-0D2A2C055EA2}" name="24" dataDxfId="192">
      <calculatedColumnFormula>SUM(Tabela46[24 (N)])</calculatedColumnFormula>
    </tableColumn>
    <tableColumn id="22" xr3:uid="{81E61CB6-6D8C-4023-B4F4-8EA91BFEF5F0}" name="33" dataDxfId="191">
      <calculatedColumnFormula>SUM(Tabela46[33 (N)])</calculatedColumnFormula>
    </tableColumn>
    <tableColumn id="23" xr3:uid="{DEE6996E-C17E-4A0F-B2D1-1770AB6E98DB}" name="34" dataDxfId="190">
      <calculatedColumnFormula>SUM(Tabela46[34 (N)])</calculatedColumnFormula>
    </tableColumn>
    <tableColumn id="24" xr3:uid="{392662B5-1E84-4A53-9D8D-84BB470DC6A8}" name="44" dataDxfId="189">
      <calculatedColumnFormula>SUM(Tabela46[44 (N)])</calculatedColumnFormula>
    </tableColumn>
    <tableColumn id="25" xr3:uid="{F756E97E-8678-4A5E-988E-280E8627DF04}" name="NA  " dataDxfId="188">
      <calculatedColumnFormula>SUM(Tabela46[NA (N)2])</calculatedColumnFormula>
    </tableColumn>
    <tableColumn id="26" xr3:uid="{798D47FB-11E4-4ABA-894E-7F509E1305FE}" name="Nº samples4" dataDxfId="187">
      <calculatedColumnFormula>SUM(Tabela49[[#This Row],[22]:[NA  ]])</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ature.com/articles/ng.439" TargetMode="External"/><Relationship Id="rId18" Type="http://schemas.openxmlformats.org/officeDocument/2006/relationships/hyperlink" Target="https://link.springer.com/article/10.1186/s13195-018-0458-8" TargetMode="External"/><Relationship Id="rId26" Type="http://schemas.openxmlformats.org/officeDocument/2006/relationships/hyperlink" Target="https://www.nature.com/articles/nature12825" TargetMode="External"/><Relationship Id="rId39" Type="http://schemas.openxmlformats.org/officeDocument/2006/relationships/hyperlink" Target="https://www.sciencedirect.com/science/article/abs/pii/S0197458019300727?via%3Dihub" TargetMode="External"/><Relationship Id="rId21" Type="http://schemas.openxmlformats.org/officeDocument/2006/relationships/hyperlink" Target="https://www.nature.com/articles/mp201214" TargetMode="External"/><Relationship Id="rId34" Type="http://schemas.openxmlformats.org/officeDocument/2006/relationships/hyperlink" Target="https://doi.org/10.1038/s41398-018-0150-6" TargetMode="External"/><Relationship Id="rId7" Type="http://schemas.openxmlformats.org/officeDocument/2006/relationships/hyperlink" Target="https://www.nature.com/articles/ng.803" TargetMode="External"/><Relationship Id="rId12" Type="http://schemas.openxmlformats.org/officeDocument/2006/relationships/hyperlink" Target="https://doi.org/10.1371/journal.pgen.1001130" TargetMode="External"/><Relationship Id="rId17" Type="http://schemas.openxmlformats.org/officeDocument/2006/relationships/hyperlink" Target="https://www.frontiersin.org/journals/genetics/articles/10.3389/fgene.2018.00653/full" TargetMode="External"/><Relationship Id="rId25" Type="http://schemas.openxmlformats.org/officeDocument/2006/relationships/hyperlink" Target="https://link.springer.com/article/10.1186/s13040-014-0035-z" TargetMode="External"/><Relationship Id="rId33" Type="http://schemas.openxmlformats.org/officeDocument/2006/relationships/hyperlink" Target="https://www.sciencedirect.com/science/article/abs/pii/S0197458018302847?via%3Dihub" TargetMode="External"/><Relationship Id="rId38" Type="http://schemas.openxmlformats.org/officeDocument/2006/relationships/hyperlink" Target="https://alz-journals.onlinelibrary.wiley.com/doi/10.1016/j.jalz.2019.06.4950" TargetMode="External"/><Relationship Id="rId2" Type="http://schemas.openxmlformats.org/officeDocument/2006/relationships/hyperlink" Target="https://www.nature.com/articles/s41588-022-01024-z" TargetMode="External"/><Relationship Id="rId16" Type="http://schemas.openxmlformats.org/officeDocument/2006/relationships/hyperlink" Target="https://doi.org/10.1093/hmg/ddm031" TargetMode="External"/><Relationship Id="rId20" Type="http://schemas.openxmlformats.org/officeDocument/2006/relationships/hyperlink" Target="https://alz-journals.onlinelibrary.wiley.com/doi/10.1016/j.jalz.2013.01.008" TargetMode="External"/><Relationship Id="rId29" Type="http://schemas.openxmlformats.org/officeDocument/2006/relationships/hyperlink" Target="https://www.nature.com/articles/mp201523" TargetMode="External"/><Relationship Id="rId1" Type="http://schemas.openxmlformats.org/officeDocument/2006/relationships/hyperlink" Target="https://www.nature.com/articles/s41380-022-01483-0" TargetMode="External"/><Relationship Id="rId6" Type="http://schemas.openxmlformats.org/officeDocument/2006/relationships/hyperlink" Target="https://www.nature.com/articles/tp201245" TargetMode="External"/><Relationship Id="rId11" Type="http://schemas.openxmlformats.org/officeDocument/2006/relationships/hyperlink" Target="https://doi.org/10.1001/jama.2010.574" TargetMode="External"/><Relationship Id="rId24" Type="http://schemas.openxmlformats.org/officeDocument/2006/relationships/hyperlink" Target="https://onlinelibrary.wiley.com/doi/10.1002/ana.24219" TargetMode="External"/><Relationship Id="rId32" Type="http://schemas.openxmlformats.org/officeDocument/2006/relationships/hyperlink" Target="https://alz-journals.onlinelibrary.wiley.com/doi/10.1016/j.jalz.2016.09.002" TargetMode="External"/><Relationship Id="rId37" Type="http://schemas.openxmlformats.org/officeDocument/2006/relationships/hyperlink" Target="https://www.nature.com/articles/s41588-019-0358-2" TargetMode="External"/><Relationship Id="rId40" Type="http://schemas.openxmlformats.org/officeDocument/2006/relationships/hyperlink" Target="https://www.nature.com/articles/s41588-021-00921-z" TargetMode="External"/><Relationship Id="rId5" Type="http://schemas.openxmlformats.org/officeDocument/2006/relationships/hyperlink" Target="https://jamanetwork.com/journals/jamaneurology/fullarticle/802552" TargetMode="External"/><Relationship Id="rId15" Type="http://schemas.openxmlformats.org/officeDocument/2006/relationships/hyperlink" Target="https://doi.org/10.1016/j.ajhg.2008.10.008" TargetMode="External"/><Relationship Id="rId23" Type="http://schemas.openxmlformats.org/officeDocument/2006/relationships/hyperlink" Target="https://www.nature.com/articles/ng.2802" TargetMode="External"/><Relationship Id="rId28" Type="http://schemas.openxmlformats.org/officeDocument/2006/relationships/hyperlink" Target="https://journals.lww.com/psychgenetics/abstract/2015/08000/a_genome_wide_association_study_of_late_onset.1.aspx" TargetMode="External"/><Relationship Id="rId36" Type="http://schemas.openxmlformats.org/officeDocument/2006/relationships/hyperlink" Target="https://www.nature.com/articles/s41467-021-22491-8" TargetMode="External"/><Relationship Id="rId10" Type="http://schemas.openxmlformats.org/officeDocument/2006/relationships/hyperlink" Target="https://doi.org/10.1038/mp.2008.141" TargetMode="External"/><Relationship Id="rId19" Type="http://schemas.openxmlformats.org/officeDocument/2006/relationships/hyperlink" Target="https://www.frontiersin.org/journals/aging-neuroscience/articles/10.3389/fnagi.2021.674318/full" TargetMode="External"/><Relationship Id="rId31" Type="http://schemas.openxmlformats.org/officeDocument/2006/relationships/hyperlink" Target="https://www.nature.com/articles/ng.3916" TargetMode="External"/><Relationship Id="rId4" Type="http://schemas.openxmlformats.org/officeDocument/2006/relationships/hyperlink" Target="https://jamanetwork.com/journals/jamaneurology/fullarticle/2771828" TargetMode="External"/><Relationship Id="rId9" Type="http://schemas.openxmlformats.org/officeDocument/2006/relationships/hyperlink" Target="https://jamanetwork.com/journals/jamaneurology/fullarticle/1108047" TargetMode="External"/><Relationship Id="rId14" Type="http://schemas.openxmlformats.org/officeDocument/2006/relationships/hyperlink" Target="https://www.nature.com/articles/ng.440" TargetMode="External"/><Relationship Id="rId22" Type="http://schemas.openxmlformats.org/officeDocument/2006/relationships/hyperlink" Target="https://www.nejm.org/doi/10.1056/NEJMoa1211103" TargetMode="External"/><Relationship Id="rId27" Type="http://schemas.openxmlformats.org/officeDocument/2006/relationships/hyperlink" Target="https://onlinelibrary.wiley.com/doi/10.1002/acn3.223" TargetMode="External"/><Relationship Id="rId30" Type="http://schemas.openxmlformats.org/officeDocument/2006/relationships/hyperlink" Target="https://www.nature.com/articles/mp2015218" TargetMode="External"/><Relationship Id="rId35" Type="http://schemas.openxmlformats.org/officeDocument/2006/relationships/hyperlink" Target="https://www.nature.com/articles/s41588-018-0311-9" TargetMode="External"/><Relationship Id="rId8" Type="http://schemas.openxmlformats.org/officeDocument/2006/relationships/hyperlink" Target="https://doi.org/10.1371/journal.pgen.1001308" TargetMode="External"/><Relationship Id="rId3" Type="http://schemas.openxmlformats.org/officeDocument/2006/relationships/hyperlink" Target="https://www.nature.com/articles/s41588-020-00776-w"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186/1471-2164-11-326" TargetMode="External"/><Relationship Id="rId21" Type="http://schemas.openxmlformats.org/officeDocument/2006/relationships/hyperlink" Target="https://med.miami.edu/centers-and-institutes/hihg" TargetMode="External"/><Relationship Id="rId42" Type="http://schemas.openxmlformats.org/officeDocument/2006/relationships/hyperlink" Target="https://adsp.niagads.org/data/contributing-cohorts/" TargetMode="External"/><Relationship Id="rId47" Type="http://schemas.openxmlformats.org/officeDocument/2006/relationships/hyperlink" Target="https://adsp.niagads.org/data/contributing-cohorts/" TargetMode="External"/><Relationship Id="rId63" Type="http://schemas.openxmlformats.org/officeDocument/2006/relationships/hyperlink" Target="https://www.hgsc.bcm.edu/human/charge-consortium" TargetMode="External"/><Relationship Id="rId68" Type="http://schemas.openxmlformats.org/officeDocument/2006/relationships/hyperlink" Target="https://www.decode.com/research/" TargetMode="External"/><Relationship Id="rId84" Type="http://schemas.openxmlformats.org/officeDocument/2006/relationships/hyperlink" Target="https://neurodegenerationresearch.eu/survey/eadb-a-european-dna-bank-for-deciphering-the-missing-heritability-of-alzheimer%C2%92s-disease/" TargetMode="External"/><Relationship Id="rId89" Type="http://schemas.openxmlformats.org/officeDocument/2006/relationships/hyperlink" Target="https://doi.org/10.1016/j.jalz.2011.05.200" TargetMode="External"/><Relationship Id="rId16" Type="http://schemas.openxmlformats.org/officeDocument/2006/relationships/hyperlink" Target="https://www.mayo.edu/research/centers-programs/alzheimers-disease-research-center/research-activities/mayo-clinic-study-aging/for-researchers/data-sharing-resources" TargetMode="External"/><Relationship Id="rId11" Type="http://schemas.openxmlformats.org/officeDocument/2006/relationships/hyperlink" Target="https://wrap.wisc.edu/" TargetMode="External"/><Relationship Id="rId32" Type="http://schemas.openxmlformats.org/officeDocument/2006/relationships/hyperlink" Target="https://www.brainbank.nl/" TargetMode="External"/><Relationship Id="rId37" Type="http://schemas.openxmlformats.org/officeDocument/2006/relationships/hyperlink" Target="https://dss.niagads.org/cohorts/banner-health-apoe-longitudinal/" TargetMode="External"/><Relationship Id="rId53" Type="http://schemas.openxmlformats.org/officeDocument/2006/relationships/hyperlink" Target="https://www.niagads.org/datasets/ng00029" TargetMode="External"/><Relationship Id="rId58" Type="http://schemas.openxmlformats.org/officeDocument/2006/relationships/hyperlink" Target="https://www.scripps.edu/science-and-medicine/translational-institute/translational-research/genomic-medicine/wellderly/" TargetMode="External"/><Relationship Id="rId74" Type="http://schemas.openxmlformats.org/officeDocument/2006/relationships/hyperlink" Target="https://eadb.eu/data/" TargetMode="External"/><Relationship Id="rId79" Type="http://schemas.openxmlformats.org/officeDocument/2006/relationships/hyperlink" Target="https://eadb.eu/data/" TargetMode="External"/><Relationship Id="rId102" Type="http://schemas.openxmlformats.org/officeDocument/2006/relationships/hyperlink" Target="https://adsp.niagads.org/data/contributing-cohorts/" TargetMode="External"/><Relationship Id="rId5" Type="http://schemas.openxmlformats.org/officeDocument/2006/relationships/hyperlink" Target="https://www.hgsc.bcm.edu/human/charge-consortium" TargetMode="External"/><Relationship Id="rId90" Type="http://schemas.openxmlformats.org/officeDocument/2006/relationships/hyperlink" Target="https://link.springer.com/article/10.1007/s10654-018-0459-8" TargetMode="External"/><Relationship Id="rId95" Type="http://schemas.openxmlformats.org/officeDocument/2006/relationships/hyperlink" Target="https://www.biocard-se.org/public/Study%20Procedures.html" TargetMode="External"/><Relationship Id="rId22" Type="http://schemas.openxmlformats.org/officeDocument/2006/relationships/hyperlink" Target="https://adsp.niagads.org/data/contributing-cohorts/" TargetMode="External"/><Relationship Id="rId27" Type="http://schemas.openxmlformats.org/officeDocument/2006/relationships/hyperlink" Target="https://doi.org/10.1038/s41598-018-36429-6" TargetMode="External"/><Relationship Id="rId43" Type="http://schemas.openxmlformats.org/officeDocument/2006/relationships/hyperlink" Target="https://adsp.niagads.org/data/contributing-cohorts/" TargetMode="External"/><Relationship Id="rId48" Type="http://schemas.openxmlformats.org/officeDocument/2006/relationships/hyperlink" Target="https://portal.dementiasplatform.uk/CohortDirectory/Item?fingerPrintID=GERAD" TargetMode="External"/><Relationship Id="rId64" Type="http://schemas.openxmlformats.org/officeDocument/2006/relationships/hyperlink" Target="https://adsp.niagads.org/data/contributing-cohorts/" TargetMode="External"/><Relationship Id="rId69" Type="http://schemas.openxmlformats.org/officeDocument/2006/relationships/hyperlink" Target="https://www.finngen.fi/en" TargetMode="External"/><Relationship Id="rId80" Type="http://schemas.openxmlformats.org/officeDocument/2006/relationships/hyperlink" Target="https://eadb.eu/data/" TargetMode="External"/><Relationship Id="rId85" Type="http://schemas.openxmlformats.org/officeDocument/2006/relationships/hyperlink" Target="https://doi.org/10.1016/j.xgen.2022.100193" TargetMode="External"/><Relationship Id="rId12" Type="http://schemas.openxmlformats.org/officeDocument/2006/relationships/hyperlink" Target="https://www.niagads.org/datasets/ng00017" TargetMode="External"/><Relationship Id="rId17" Type="http://schemas.openxmlformats.org/officeDocument/2006/relationships/hyperlink" Target="https://dss.niagads.org/cohorts/nia-alzheimer-disease-research-centers-adrc/" TargetMode="External"/><Relationship Id="rId25" Type="http://schemas.openxmlformats.org/officeDocument/2006/relationships/hyperlink" Target="https://doi.org/10.1016/j.jalz.2019.06.4950" TargetMode="External"/><Relationship Id="rId33" Type="http://schemas.openxmlformats.org/officeDocument/2006/relationships/hyperlink" Target="https://med.miami.edu/programs/brain-endowment-bank" TargetMode="External"/><Relationship Id="rId38" Type="http://schemas.openxmlformats.org/officeDocument/2006/relationships/hyperlink" Target="https://adsp.niagads.org/data/contributing-cohorts/" TargetMode="External"/><Relationship Id="rId46" Type="http://schemas.openxmlformats.org/officeDocument/2006/relationships/hyperlink" Target="https://adsp.niagads.org/data/contributing-cohorts/" TargetMode="External"/><Relationship Id="rId59" Type="http://schemas.openxmlformats.org/officeDocument/2006/relationships/hyperlink" Target="https://sites.cscc.unc.edu/aric/desc_pub" TargetMode="External"/><Relationship Id="rId67" Type="http://schemas.openxmlformats.org/officeDocument/2006/relationships/hyperlink" Target="https://adsp.niagads.org/data/contributing-cohorts/" TargetMode="External"/><Relationship Id="rId103" Type="http://schemas.openxmlformats.org/officeDocument/2006/relationships/hyperlink" Target="https://adsp.niagads.org/data/contributing-cohorts/" TargetMode="External"/><Relationship Id="rId20" Type="http://schemas.openxmlformats.org/officeDocument/2006/relationships/hyperlink" Target="http://grantome.com/grant/NIH/R01-AG007584-10S1" TargetMode="External"/><Relationship Id="rId41" Type="http://schemas.openxmlformats.org/officeDocument/2006/relationships/hyperlink" Target="https://adsp.niagads.org/data/contributing-cohorts/" TargetMode="External"/><Relationship Id="rId54" Type="http://schemas.openxmlformats.org/officeDocument/2006/relationships/hyperlink" Target="https://dss.niagads.org/studies/sa000007/" TargetMode="External"/><Relationship Id="rId62" Type="http://schemas.openxmlformats.org/officeDocument/2006/relationships/hyperlink" Target="https://www.rushu.rush.edu/research/departmental-research/minority-aging-research-study" TargetMode="External"/><Relationship Id="rId70" Type="http://schemas.openxmlformats.org/officeDocument/2006/relationships/hyperlink" Target="http://www.ukbiobank.ac.uk/" TargetMode="External"/><Relationship Id="rId75" Type="http://schemas.openxmlformats.org/officeDocument/2006/relationships/hyperlink" Target="https://neurodegenerationresearch.eu/survey/eadb-a-european-dna-bank-for-deciphering-the-missing-heritability-of-alzheimer%C2%92s-disease/" TargetMode="External"/><Relationship Id="rId83" Type="http://schemas.openxmlformats.org/officeDocument/2006/relationships/hyperlink" Target="https://journals.sagepub.com/doi/full/10.3233/JAD-200948" TargetMode="External"/><Relationship Id="rId88" Type="http://schemas.openxmlformats.org/officeDocument/2006/relationships/hyperlink" Target="https://victr.vumc.org/biovu-description/" TargetMode="External"/><Relationship Id="rId91" Type="http://schemas.openxmlformats.org/officeDocument/2006/relationships/hyperlink" Target="https://www.ncgg.go.jp/english/" TargetMode="External"/><Relationship Id="rId96" Type="http://schemas.openxmlformats.org/officeDocument/2006/relationships/hyperlink" Target="https://adsp.niagads.org/data/contributing-cohorts/" TargetMode="External"/><Relationship Id="rId1" Type="http://schemas.openxmlformats.org/officeDocument/2006/relationships/hyperlink" Target="mailto:Gr@ace" TargetMode="External"/><Relationship Id="rId6" Type="http://schemas.openxmlformats.org/officeDocument/2006/relationships/hyperlink" Target="http://www.erasmus-epidemiology.nl/research/ergo.htm" TargetMode="External"/><Relationship Id="rId15" Type="http://schemas.openxmlformats.org/officeDocument/2006/relationships/hyperlink" Target="https://www.niagads.org/datasets/ng00042" TargetMode="External"/><Relationship Id="rId23" Type="http://schemas.openxmlformats.org/officeDocument/2006/relationships/hyperlink" Target="http://www.tanz.med.utoronto.ca/familial-alzheimer%E2%80%99s-disease-registry" TargetMode="External"/><Relationship Id="rId28" Type="http://schemas.openxmlformats.org/officeDocument/2006/relationships/hyperlink" Target="https://www.niagads.org/datasets/ng00031" TargetMode="External"/><Relationship Id="rId36" Type="http://schemas.openxmlformats.org/officeDocument/2006/relationships/hyperlink" Target="https://eadb.eu/data/" TargetMode="External"/><Relationship Id="rId49" Type="http://schemas.openxmlformats.org/officeDocument/2006/relationships/hyperlink" Target="https://adsp.niagads.org/data/contributing-cohorts/" TargetMode="External"/><Relationship Id="rId57" Type="http://schemas.openxmlformats.org/officeDocument/2006/relationships/hyperlink" Target="https://adsp.niagads.org/data/contributing-cohorts/" TargetMode="External"/><Relationship Id="rId10" Type="http://schemas.openxmlformats.org/officeDocument/2006/relationships/hyperlink" Target="https://www.niagads.org/datasets/ng00034" TargetMode="External"/><Relationship Id="rId31" Type="http://schemas.openxmlformats.org/officeDocument/2006/relationships/hyperlink" Target="https://www.hgsc.bcm.edu/human/charge-consortium" TargetMode="External"/><Relationship Id="rId44" Type="http://schemas.openxmlformats.org/officeDocument/2006/relationships/hyperlink" Target="https://www.alz.co.uk/1066/" TargetMode="External"/><Relationship Id="rId52" Type="http://schemas.openxmlformats.org/officeDocument/2006/relationships/hyperlink" Target="https://dss.niagads.org/cohorts/chicago-health-and-aging-project-chap/" TargetMode="External"/><Relationship Id="rId60" Type="http://schemas.openxmlformats.org/officeDocument/2006/relationships/hyperlink" Target="https://aspree.org/" TargetMode="External"/><Relationship Id="rId65" Type="http://schemas.openxmlformats.org/officeDocument/2006/relationships/hyperlink" Target="https://adni.loni.usc.edu/" TargetMode="External"/><Relationship Id="rId73" Type="http://schemas.openxmlformats.org/officeDocument/2006/relationships/hyperlink" Target="https://neurodegenerationresearch.eu/survey/eadb-a-european-dna-bank-for-deciphering-the-missing-heritability-of-alzheimer%C2%92s-disease/" TargetMode="External"/><Relationship Id="rId78" Type="http://schemas.openxmlformats.org/officeDocument/2006/relationships/hyperlink" Target="https://biobank.ndph.ox.ac.uk/ukb/label.cgi?id=263%20(SNP)" TargetMode="External"/><Relationship Id="rId81" Type="http://schemas.openxmlformats.org/officeDocument/2006/relationships/hyperlink" Target="https://eadb.eu/data/" TargetMode="External"/><Relationship Id="rId86" Type="http://schemas.openxmlformats.org/officeDocument/2006/relationships/hyperlink" Target="https://med.miami.edu/centers-and-institutes/hihg" TargetMode="External"/><Relationship Id="rId94" Type="http://schemas.openxmlformats.org/officeDocument/2006/relationships/hyperlink" Target="https://ki.se/en/research/the-swedish-twin-registry" TargetMode="External"/><Relationship Id="rId99" Type="http://schemas.openxmlformats.org/officeDocument/2006/relationships/hyperlink" Target="https://adsp.niagads.org/data/contributing-cohorts/" TargetMode="External"/><Relationship Id="rId101" Type="http://schemas.openxmlformats.org/officeDocument/2006/relationships/hyperlink" Target="https://adsp.niagads.org/data/contributing-cohorts/" TargetMode="External"/><Relationship Id="rId4" Type="http://schemas.openxmlformats.org/officeDocument/2006/relationships/hyperlink" Target="https://adsp.niagads.org/data/contributing-cohorts/" TargetMode="External"/><Relationship Id="rId9" Type="http://schemas.openxmlformats.org/officeDocument/2006/relationships/hyperlink" Target="https://www.niagads.org/datasets/ng00028" TargetMode="External"/><Relationship Id="rId13" Type="http://schemas.openxmlformats.org/officeDocument/2006/relationships/hyperlink" Target="https://portal.dementiasplatform.uk/CohortDirectory/Item?fingerPrintID=GERAD" TargetMode="External"/><Relationship Id="rId18" Type="http://schemas.openxmlformats.org/officeDocument/2006/relationships/hyperlink" Target="https://adsp.niagads.org/data/contributing-cohorts/" TargetMode="External"/><Relationship Id="rId39" Type="http://schemas.openxmlformats.org/officeDocument/2006/relationships/hyperlink" Target="https://adsp.niagads.org/data/contributing-cohorts/" TargetMode="External"/><Relationship Id="rId34" Type="http://schemas.openxmlformats.org/officeDocument/2006/relationships/hyperlink" Target="https://a4study.org/" TargetMode="External"/><Relationship Id="rId50" Type="http://schemas.openxmlformats.org/officeDocument/2006/relationships/hyperlink" Target="https://www.23andme.com/en-int/" TargetMode="External"/><Relationship Id="rId55" Type="http://schemas.openxmlformats.org/officeDocument/2006/relationships/hyperlink" Target="https://adsp.niagads.org/data/contributing-cohorts/" TargetMode="External"/><Relationship Id="rId76" Type="http://schemas.openxmlformats.org/officeDocument/2006/relationships/hyperlink" Target="https://neurodegenerationresearch.eu/survey/eadb-a-european-dna-bank-for-deciphering-the-missing-heritability-of-alzheimer%C2%92s-disease/" TargetMode="External"/><Relationship Id="rId97" Type="http://schemas.openxmlformats.org/officeDocument/2006/relationships/hyperlink" Target="https://adsp.niagads.org/data/contributing-cohorts/" TargetMode="External"/><Relationship Id="rId104" Type="http://schemas.openxmlformats.org/officeDocument/2006/relationships/table" Target="../tables/table1.xml"/><Relationship Id="rId7" Type="http://schemas.openxmlformats.org/officeDocument/2006/relationships/hyperlink" Target="https://link.springer.com/article/10.1186/s13195-017-0314-2" TargetMode="External"/><Relationship Id="rId71" Type="http://schemas.openxmlformats.org/officeDocument/2006/relationships/hyperlink" Target="https://adsp.niagads.org/data/contributing-cohorts/" TargetMode="External"/><Relationship Id="rId92" Type="http://schemas.openxmlformats.org/officeDocument/2006/relationships/hyperlink" Target="https://www.med.niigata-u.ac.jp/hyg/project-en.html" TargetMode="External"/><Relationship Id="rId2" Type="http://schemas.openxmlformats.org/officeDocument/2006/relationships/hyperlink" Target="https://www.niagads.org/datasets/ng00032" TargetMode="External"/><Relationship Id="rId29" Type="http://schemas.openxmlformats.org/officeDocument/2006/relationships/hyperlink" Target="https://www.niagads.org/datasets/ng00026" TargetMode="External"/><Relationship Id="rId24" Type="http://schemas.openxmlformats.org/officeDocument/2006/relationships/hyperlink" Target="https://www.nimhgenetics.org/" TargetMode="External"/><Relationship Id="rId40" Type="http://schemas.openxmlformats.org/officeDocument/2006/relationships/hyperlink" Target="https://adsp.niagads.org/data/contributing-cohorts/" TargetMode="External"/><Relationship Id="rId45" Type="http://schemas.openxmlformats.org/officeDocument/2006/relationships/hyperlink" Target="https://adsp.niagads.org/data/contributing-cohorts/" TargetMode="External"/><Relationship Id="rId66" Type="http://schemas.openxmlformats.org/officeDocument/2006/relationships/hyperlink" Target="https://adsp.niagads.org/data/contributing-cohorts/" TargetMode="External"/><Relationship Id="rId87" Type="http://schemas.openxmlformats.org/officeDocument/2006/relationships/hyperlink" Target="https://doi.org/10.3233/jad-2011-091402" TargetMode="External"/><Relationship Id="rId61" Type="http://schemas.openxmlformats.org/officeDocument/2006/relationships/hyperlink" Target="https://adsp.niagads.org/data/contributing-cohorts/" TargetMode="External"/><Relationship Id="rId82" Type="http://schemas.openxmlformats.org/officeDocument/2006/relationships/hyperlink" Target="https://eadb.eu/data/" TargetMode="External"/><Relationship Id="rId19" Type="http://schemas.openxmlformats.org/officeDocument/2006/relationships/hyperlink" Target="https://adsp.niagads.org/data/contributing-cohorts/" TargetMode="External"/><Relationship Id="rId14" Type="http://schemas.openxmlformats.org/officeDocument/2006/relationships/hyperlink" Target="https://www.niagads.org/datasets/ng00096" TargetMode="External"/><Relationship Id="rId30" Type="http://schemas.openxmlformats.org/officeDocument/2006/relationships/hyperlink" Target="https://portal.dementiasplatform.uk/CohortDirectory/Item?fingerPrintID=GERAD" TargetMode="External"/><Relationship Id="rId35" Type="http://schemas.openxmlformats.org/officeDocument/2006/relationships/hyperlink" Target="https://eadb.eu/data/" TargetMode="External"/><Relationship Id="rId56" Type="http://schemas.openxmlformats.org/officeDocument/2006/relationships/hyperlink" Target="https://lasi-dad.org/" TargetMode="External"/><Relationship Id="rId77" Type="http://schemas.openxmlformats.org/officeDocument/2006/relationships/hyperlink" Target="https://portal.dementiasplatform.uk/CohortDirectory/Item?fingerPrintID=GERAD" TargetMode="External"/><Relationship Id="rId100" Type="http://schemas.openxmlformats.org/officeDocument/2006/relationships/hyperlink" Target="https://tableau.bi.iu.edu/t/prd/views/IIDP_1/CSDashboard2?iframeSizedToWindow=true&amp;%3Aembed=y&amp;%3AshowAppBanner=false&amp;%3Adisplay_count=no&amp;%3AshowVizHome=no&amp;%3Atabs=no&amp;%3Atoolbar=no" TargetMode="External"/><Relationship Id="rId8" Type="http://schemas.openxmlformats.org/officeDocument/2006/relationships/hyperlink" Target="https://neurodegenerationresearch.eu/survey/eadb-a-european-dna-bank-for-deciphering-the-missing-heritability-of-alzheimer%C2%92s-disease/" TargetMode="External"/><Relationship Id="rId51" Type="http://schemas.openxmlformats.org/officeDocument/2006/relationships/hyperlink" Target="https://www.ncbi.nlm.nih.gov/projects/gap/cgi-bin/GetListOfAllObjects.cgi?study_id=phs000219.v1.p1&amp;object_type=analysis" TargetMode="External"/><Relationship Id="rId72" Type="http://schemas.openxmlformats.org/officeDocument/2006/relationships/hyperlink" Target="https://adsp.niagads.org/data/contributing-cohorts/" TargetMode="External"/><Relationship Id="rId93" Type="http://schemas.openxmlformats.org/officeDocument/2006/relationships/hyperlink" Target="https://www.icpsr.umich.edu/web/NACDA/studies/3843/datadocumentation" TargetMode="External"/><Relationship Id="rId98" Type="http://schemas.openxmlformats.org/officeDocument/2006/relationships/hyperlink" Target="https://www.maelstrom-research.org/study/eas" TargetMode="External"/><Relationship Id="rId3" Type="http://schemas.openxmlformats.org/officeDocument/2006/relationships/hyperlink" Target="https://www.hgsc.bcm.edu/human/charge-consortiu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adsp.niagads.org/data/contributing-cohorts/" TargetMode="External"/><Relationship Id="rId18" Type="http://schemas.openxmlformats.org/officeDocument/2006/relationships/hyperlink" Target="https://a4study.org/" TargetMode="External"/><Relationship Id="rId26" Type="http://schemas.openxmlformats.org/officeDocument/2006/relationships/hyperlink" Target="https://adsp.niagads.org/data/contributing-cohorts/" TargetMode="External"/><Relationship Id="rId39" Type="http://schemas.openxmlformats.org/officeDocument/2006/relationships/hyperlink" Target="https://adsp.niagads.org/data/contributing-cohorts/" TargetMode="External"/><Relationship Id="rId21" Type="http://schemas.openxmlformats.org/officeDocument/2006/relationships/hyperlink" Target="https://adsp.niagads.org/data/contributing-cohorts/" TargetMode="External"/><Relationship Id="rId34" Type="http://schemas.openxmlformats.org/officeDocument/2006/relationships/hyperlink" Target="http://www.tanz.med.utoronto.ca/familial-alzheimer%E2%80%99s-disease-registry" TargetMode="External"/><Relationship Id="rId42" Type="http://schemas.openxmlformats.org/officeDocument/2006/relationships/table" Target="../tables/table2.xml"/><Relationship Id="rId7" Type="http://schemas.openxmlformats.org/officeDocument/2006/relationships/hyperlink" Target="https://adsp.niagads.org/data/contributing-cohorts/" TargetMode="External"/><Relationship Id="rId2" Type="http://schemas.openxmlformats.org/officeDocument/2006/relationships/hyperlink" Target="https://www.mayo.edu/research/centers-programs/alzheimers-disease-research-center/research-activities/mayo-clinic-study-aging/for-researchers/data-sharing-resources" TargetMode="External"/><Relationship Id="rId16" Type="http://schemas.openxmlformats.org/officeDocument/2006/relationships/hyperlink" Target="https://www.hgsc.bcm.edu/human/charge-consortium" TargetMode="External"/><Relationship Id="rId20" Type="http://schemas.openxmlformats.org/officeDocument/2006/relationships/hyperlink" Target="https://adni.loni.usc.edu/" TargetMode="External"/><Relationship Id="rId29" Type="http://schemas.openxmlformats.org/officeDocument/2006/relationships/hyperlink" Target="https://dss.niagads.org/cohorts/chicago-health-and-aging-project-chap/" TargetMode="External"/><Relationship Id="rId41" Type="http://schemas.openxmlformats.org/officeDocument/2006/relationships/hyperlink" Target="http://grantome.com/grant/NIH/R01-AG007584-10S1" TargetMode="External"/><Relationship Id="rId1" Type="http://schemas.openxmlformats.org/officeDocument/2006/relationships/hyperlink" Target="https://www.niagads.org/datasets/ng00031" TargetMode="External"/><Relationship Id="rId6" Type="http://schemas.openxmlformats.org/officeDocument/2006/relationships/hyperlink" Target="https://www.brainbank.nl/" TargetMode="External"/><Relationship Id="rId11" Type="http://schemas.openxmlformats.org/officeDocument/2006/relationships/hyperlink" Target="https://aspree.org/" TargetMode="External"/><Relationship Id="rId24" Type="http://schemas.openxmlformats.org/officeDocument/2006/relationships/hyperlink" Target="https://lasi-dad.org/" TargetMode="External"/><Relationship Id="rId32" Type="http://schemas.openxmlformats.org/officeDocument/2006/relationships/hyperlink" Target="https://www.nimhgenetics.org/" TargetMode="External"/><Relationship Id="rId37" Type="http://schemas.openxmlformats.org/officeDocument/2006/relationships/hyperlink" Target="https://adsp.niagads.org/data/contributing-cohorts/" TargetMode="External"/><Relationship Id="rId40" Type="http://schemas.openxmlformats.org/officeDocument/2006/relationships/hyperlink" Target="https://adsp.niagads.org/data/contributing-cohorts/" TargetMode="External"/><Relationship Id="rId5" Type="http://schemas.openxmlformats.org/officeDocument/2006/relationships/hyperlink" Target="https://adsp.niagads.org/data/contributing-cohorts/" TargetMode="External"/><Relationship Id="rId15" Type="http://schemas.openxmlformats.org/officeDocument/2006/relationships/hyperlink" Target="https://www.hgsc.bcm.edu/human/charge-consortium" TargetMode="External"/><Relationship Id="rId23" Type="http://schemas.openxmlformats.org/officeDocument/2006/relationships/hyperlink" Target="https://adsp.niagads.org/data/contributing-cohorts/" TargetMode="External"/><Relationship Id="rId28" Type="http://schemas.openxmlformats.org/officeDocument/2006/relationships/hyperlink" Target="https://www.niagads.org/datasets/ng00029" TargetMode="External"/><Relationship Id="rId36" Type="http://schemas.openxmlformats.org/officeDocument/2006/relationships/hyperlink" Target="https://med.miami.edu/centers-and-institutes/hihg" TargetMode="External"/><Relationship Id="rId10" Type="http://schemas.openxmlformats.org/officeDocument/2006/relationships/hyperlink" Target="https://sites.cscc.unc.edu/aric/desc_pub" TargetMode="External"/><Relationship Id="rId19" Type="http://schemas.openxmlformats.org/officeDocument/2006/relationships/hyperlink" Target="https://adsp.niagads.org/data/contributing-cohorts/" TargetMode="External"/><Relationship Id="rId31" Type="http://schemas.openxmlformats.org/officeDocument/2006/relationships/hyperlink" Target="https://adsp.niagads.org/data/contributing-cohorts/" TargetMode="External"/><Relationship Id="rId4" Type="http://schemas.openxmlformats.org/officeDocument/2006/relationships/hyperlink" Target="https://adsp.niagads.org/data/contributing-cohorts/" TargetMode="External"/><Relationship Id="rId9" Type="http://schemas.openxmlformats.org/officeDocument/2006/relationships/hyperlink" Target="https://www.niagads.org/datasets/ng00034" TargetMode="External"/><Relationship Id="rId14" Type="http://schemas.openxmlformats.org/officeDocument/2006/relationships/hyperlink" Target="https://www.rushu.rush.edu/research/departmental-research/minority-aging-research-study" TargetMode="External"/><Relationship Id="rId22" Type="http://schemas.openxmlformats.org/officeDocument/2006/relationships/hyperlink" Target="https://adsp.niagads.org/data/contributing-cohorts/" TargetMode="External"/><Relationship Id="rId27" Type="http://schemas.openxmlformats.org/officeDocument/2006/relationships/hyperlink" Target="https://dss.niagads.org/studies/sa000007/" TargetMode="External"/><Relationship Id="rId30" Type="http://schemas.openxmlformats.org/officeDocument/2006/relationships/hyperlink" Target="https://med.miami.edu/programs/brain-endowment-bank" TargetMode="External"/><Relationship Id="rId35" Type="http://schemas.openxmlformats.org/officeDocument/2006/relationships/hyperlink" Target="https://www.alz.co.uk/1066/" TargetMode="External"/><Relationship Id="rId8" Type="http://schemas.openxmlformats.org/officeDocument/2006/relationships/hyperlink" Target="https://wrap.wisc.edu/" TargetMode="External"/><Relationship Id="rId3" Type="http://schemas.openxmlformats.org/officeDocument/2006/relationships/hyperlink" Target="https://dss.niagads.org/cohorts/nia-alzheimer-disease-research-centers-adrc/" TargetMode="External"/><Relationship Id="rId12" Type="http://schemas.openxmlformats.org/officeDocument/2006/relationships/hyperlink" Target="https://adsp.niagads.org/data/contributing-cohorts/" TargetMode="External"/><Relationship Id="rId17" Type="http://schemas.openxmlformats.org/officeDocument/2006/relationships/hyperlink" Target="http://www.erasmus-epidemiology.nl/research/ergo.htm" TargetMode="External"/><Relationship Id="rId25" Type="http://schemas.openxmlformats.org/officeDocument/2006/relationships/hyperlink" Target="https://adsp.niagads.org/data/contributing-cohorts/" TargetMode="External"/><Relationship Id="rId33" Type="http://schemas.openxmlformats.org/officeDocument/2006/relationships/hyperlink" Target="https://adsp.niagads.org/data/contributing-cohorts/" TargetMode="External"/><Relationship Id="rId38" Type="http://schemas.openxmlformats.org/officeDocument/2006/relationships/hyperlink" Target="https://adsp.niagads.org/data/contributing-cohorts/"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ss.niagads.org/datasets/ng00108/" TargetMode="External"/><Relationship Id="rId18" Type="http://schemas.openxmlformats.org/officeDocument/2006/relationships/hyperlink" Target="https://dss.niagads.org/datasets/ng00119/" TargetMode="External"/><Relationship Id="rId26" Type="http://schemas.openxmlformats.org/officeDocument/2006/relationships/hyperlink" Target="https://dss.niagads.org/datasets/ng00140/" TargetMode="External"/><Relationship Id="rId21" Type="http://schemas.openxmlformats.org/officeDocument/2006/relationships/hyperlink" Target="https://dss.niagads.org/datasets/ng00132/" TargetMode="External"/><Relationship Id="rId34" Type="http://schemas.openxmlformats.org/officeDocument/2006/relationships/hyperlink" Target="https://dss.niagads.org/datasets/ng00171/" TargetMode="External"/><Relationship Id="rId7" Type="http://schemas.openxmlformats.org/officeDocument/2006/relationships/hyperlink" Target="https://dss.niagads.org/datasets/ng00070/" TargetMode="External"/><Relationship Id="rId12" Type="http://schemas.openxmlformats.org/officeDocument/2006/relationships/hyperlink" Target="https://dss.niagads.org/datasets/ng00106/" TargetMode="External"/><Relationship Id="rId17" Type="http://schemas.openxmlformats.org/officeDocument/2006/relationships/hyperlink" Target="https://dss.niagads.org/datasets/ng00118/" TargetMode="External"/><Relationship Id="rId25" Type="http://schemas.openxmlformats.org/officeDocument/2006/relationships/hyperlink" Target="https://dss.niagads.org/datasets/ng00139/" TargetMode="External"/><Relationship Id="rId33" Type="http://schemas.openxmlformats.org/officeDocument/2006/relationships/hyperlink" Target="https://dss.niagads.org/datasets/ng00168/" TargetMode="External"/><Relationship Id="rId2" Type="http://schemas.openxmlformats.org/officeDocument/2006/relationships/hyperlink" Target="https://dss.niagads.org/datasets/ng00023/" TargetMode="External"/><Relationship Id="rId16" Type="http://schemas.openxmlformats.org/officeDocument/2006/relationships/hyperlink" Target="https://dss.niagads.org/datasets/ng00116/" TargetMode="External"/><Relationship Id="rId20" Type="http://schemas.openxmlformats.org/officeDocument/2006/relationships/hyperlink" Target="https://dss.niagads.org/datasets/ng00128/" TargetMode="External"/><Relationship Id="rId29" Type="http://schemas.openxmlformats.org/officeDocument/2006/relationships/hyperlink" Target="https://dss.niagads.org/datasets/ng00150/" TargetMode="External"/><Relationship Id="rId1" Type="http://schemas.openxmlformats.org/officeDocument/2006/relationships/hyperlink" Target="https://dss.niagads.org/datasets/ng00022/" TargetMode="External"/><Relationship Id="rId6" Type="http://schemas.openxmlformats.org/officeDocument/2006/relationships/hyperlink" Target="https://dss.niagads.org/datasets/ng00069/" TargetMode="External"/><Relationship Id="rId11" Type="http://schemas.openxmlformats.org/officeDocument/2006/relationships/hyperlink" Target="https://dss.niagads.org/datasets/ng00105/" TargetMode="External"/><Relationship Id="rId24" Type="http://schemas.openxmlformats.org/officeDocument/2006/relationships/hyperlink" Target="https://dss.niagads.org/datasets/ng00138/" TargetMode="External"/><Relationship Id="rId32" Type="http://schemas.openxmlformats.org/officeDocument/2006/relationships/hyperlink" Target="https://dss.niagads.org/datasets/ng00167/" TargetMode="External"/><Relationship Id="rId37" Type="http://schemas.openxmlformats.org/officeDocument/2006/relationships/table" Target="../tables/table3.xml"/><Relationship Id="rId5" Type="http://schemas.openxmlformats.org/officeDocument/2006/relationships/hyperlink" Target="https://dss.niagads.org/datasets/ng00068/" TargetMode="External"/><Relationship Id="rId15" Type="http://schemas.openxmlformats.org/officeDocument/2006/relationships/hyperlink" Target="https://dss.niagads.org/datasets/ng00114/" TargetMode="External"/><Relationship Id="rId23" Type="http://schemas.openxmlformats.org/officeDocument/2006/relationships/hyperlink" Target="https://dss.niagads.org/datasets/ng00137/" TargetMode="External"/><Relationship Id="rId28" Type="http://schemas.openxmlformats.org/officeDocument/2006/relationships/hyperlink" Target="https://dss.niagads.org/datasets/ng00149/" TargetMode="External"/><Relationship Id="rId36" Type="http://schemas.openxmlformats.org/officeDocument/2006/relationships/hyperlink" Target="https://dss.niagads.org/datasets/ng00050/" TargetMode="External"/><Relationship Id="rId10" Type="http://schemas.openxmlformats.org/officeDocument/2006/relationships/hyperlink" Target="https://dss.niagads.org/datasets/ng00105/" TargetMode="External"/><Relationship Id="rId19" Type="http://schemas.openxmlformats.org/officeDocument/2006/relationships/hyperlink" Target="https://dss.niagads.org/datasets/ng00127/" TargetMode="External"/><Relationship Id="rId31" Type="http://schemas.openxmlformats.org/officeDocument/2006/relationships/hyperlink" Target="https://dss.niagads.org/datasets/ng00153/" TargetMode="External"/><Relationship Id="rId4" Type="http://schemas.openxmlformats.org/officeDocument/2006/relationships/hyperlink" Target="https://dss.niagads.org/datasets/ng00035/" TargetMode="External"/><Relationship Id="rId9" Type="http://schemas.openxmlformats.org/officeDocument/2006/relationships/hyperlink" Target="https://dss.niagads.org/datasets/ng00102/" TargetMode="External"/><Relationship Id="rId14" Type="http://schemas.openxmlformats.org/officeDocument/2006/relationships/hyperlink" Target="https://dss.niagads.org/datasets/ng00113/" TargetMode="External"/><Relationship Id="rId22" Type="http://schemas.openxmlformats.org/officeDocument/2006/relationships/hyperlink" Target="https://dss.niagads.org/datasets/ng00136/" TargetMode="External"/><Relationship Id="rId27" Type="http://schemas.openxmlformats.org/officeDocument/2006/relationships/hyperlink" Target="https://dss.niagads.org/datasets/ng00142/" TargetMode="External"/><Relationship Id="rId30" Type="http://schemas.openxmlformats.org/officeDocument/2006/relationships/hyperlink" Target="https://dss.niagads.org/datasets/ng00151/" TargetMode="External"/><Relationship Id="rId35" Type="http://schemas.openxmlformats.org/officeDocument/2006/relationships/hyperlink" Target="https://dss.niagads.org/datasets/ng00176/" TargetMode="External"/><Relationship Id="rId8" Type="http://schemas.openxmlformats.org/officeDocument/2006/relationships/hyperlink" Target="https://dss.niagads.org/datasets/ng00071/" TargetMode="External"/><Relationship Id="rId3" Type="http://schemas.openxmlformats.org/officeDocument/2006/relationships/hyperlink" Target="https://dss.niagads.org/datasets/ng00024/"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www.tanz.med.utoronto.ca/familial-alzheimer%E2%80%99s-disease-registry" TargetMode="External"/><Relationship Id="rId18" Type="http://schemas.openxmlformats.org/officeDocument/2006/relationships/hyperlink" Target="https://med.miami.edu/programs/brain-endowment-bank" TargetMode="External"/><Relationship Id="rId26" Type="http://schemas.openxmlformats.org/officeDocument/2006/relationships/hyperlink" Target="https://adsp.niagads.org/data/contributing-cohorts/" TargetMode="External"/><Relationship Id="rId39" Type="http://schemas.openxmlformats.org/officeDocument/2006/relationships/hyperlink" Target="https://adni.loni.usc.edu/" TargetMode="External"/><Relationship Id="rId21" Type="http://schemas.openxmlformats.org/officeDocument/2006/relationships/hyperlink" Target="https://dss.niagads.org/studies/sa000007/" TargetMode="External"/><Relationship Id="rId34" Type="http://schemas.openxmlformats.org/officeDocument/2006/relationships/hyperlink" Target="https://www.hgsc.bcm.edu/human/charge-consortium" TargetMode="External"/><Relationship Id="rId42" Type="http://schemas.openxmlformats.org/officeDocument/2006/relationships/hyperlink" Target="https://adsp.niagads.org/data/contributing-cohorts/" TargetMode="External"/><Relationship Id="rId7" Type="http://schemas.openxmlformats.org/officeDocument/2006/relationships/hyperlink" Target="https://adsp.niagads.org/data/contributing-cohorts/" TargetMode="External"/><Relationship Id="rId2" Type="http://schemas.openxmlformats.org/officeDocument/2006/relationships/hyperlink" Target="https://www.mayo.edu/research/centers-programs/alzheimers-disease-research-center/research-activities/mayo-clinic-study-aging/for-researchers/data-sharing-resources" TargetMode="External"/><Relationship Id="rId16" Type="http://schemas.openxmlformats.org/officeDocument/2006/relationships/hyperlink" Target="https://www.brainbank.nl/" TargetMode="External"/><Relationship Id="rId20" Type="http://schemas.openxmlformats.org/officeDocument/2006/relationships/hyperlink" Target="https://www.niagads.org/datasets/ng00029" TargetMode="External"/><Relationship Id="rId29" Type="http://schemas.openxmlformats.org/officeDocument/2006/relationships/hyperlink" Target="https://sites.cscc.unc.edu/aric/desc_pub" TargetMode="External"/><Relationship Id="rId41" Type="http://schemas.openxmlformats.org/officeDocument/2006/relationships/hyperlink" Target="https://adsp.niagads.org/data/contributing-cohorts/" TargetMode="External"/><Relationship Id="rId1" Type="http://schemas.openxmlformats.org/officeDocument/2006/relationships/hyperlink" Target="https://www.niagads.org/datasets/ng00031" TargetMode="External"/><Relationship Id="rId6" Type="http://schemas.openxmlformats.org/officeDocument/2006/relationships/hyperlink" Target="https://adsp.niagads.org/data/contributing-cohorts/" TargetMode="External"/><Relationship Id="rId11" Type="http://schemas.openxmlformats.org/officeDocument/2006/relationships/hyperlink" Target="https://med.miami.edu/centers-and-institutes/hihg" TargetMode="External"/><Relationship Id="rId24" Type="http://schemas.openxmlformats.org/officeDocument/2006/relationships/hyperlink" Target="https://lasi-dad.org/" TargetMode="External"/><Relationship Id="rId32" Type="http://schemas.openxmlformats.org/officeDocument/2006/relationships/hyperlink" Target="https://adsp.niagads.org/data/contributing-cohorts/" TargetMode="External"/><Relationship Id="rId37" Type="http://schemas.openxmlformats.org/officeDocument/2006/relationships/hyperlink" Target="https://a4study.org/" TargetMode="External"/><Relationship Id="rId40" Type="http://schemas.openxmlformats.org/officeDocument/2006/relationships/hyperlink" Target="https://adsp.niagads.org/data/contributing-cohorts/" TargetMode="External"/><Relationship Id="rId5" Type="http://schemas.openxmlformats.org/officeDocument/2006/relationships/hyperlink" Target="http://grantome.com/grant/NIH/R01-AG007584-10S1" TargetMode="External"/><Relationship Id="rId15" Type="http://schemas.openxmlformats.org/officeDocument/2006/relationships/hyperlink" Target="https://www.nimhgenetics.org/" TargetMode="External"/><Relationship Id="rId23" Type="http://schemas.openxmlformats.org/officeDocument/2006/relationships/hyperlink" Target="https://adsp.niagads.org/data/contributing-cohorts/" TargetMode="External"/><Relationship Id="rId28" Type="http://schemas.openxmlformats.org/officeDocument/2006/relationships/hyperlink" Target="https://www.niagads.org/datasets/ng00034" TargetMode="External"/><Relationship Id="rId36" Type="http://schemas.openxmlformats.org/officeDocument/2006/relationships/hyperlink" Target="http://www.erasmus-epidemiology.nl/research/ergo.htm" TargetMode="External"/><Relationship Id="rId10" Type="http://schemas.openxmlformats.org/officeDocument/2006/relationships/hyperlink" Target="https://adsp.niagads.org/data/contributing-cohorts/" TargetMode="External"/><Relationship Id="rId19" Type="http://schemas.openxmlformats.org/officeDocument/2006/relationships/hyperlink" Target="https://dss.niagads.org/cohorts/chicago-health-and-aging-project-chap/" TargetMode="External"/><Relationship Id="rId31" Type="http://schemas.openxmlformats.org/officeDocument/2006/relationships/hyperlink" Target="https://adsp.niagads.org/data/contributing-cohorts/" TargetMode="External"/><Relationship Id="rId4" Type="http://schemas.openxmlformats.org/officeDocument/2006/relationships/hyperlink" Target="https://adsp.niagads.org/data/contributing-cohorts/" TargetMode="External"/><Relationship Id="rId9" Type="http://schemas.openxmlformats.org/officeDocument/2006/relationships/hyperlink" Target="https://adsp.niagads.org/data/contributing-cohorts/" TargetMode="External"/><Relationship Id="rId14" Type="http://schemas.openxmlformats.org/officeDocument/2006/relationships/hyperlink" Target="https://adsp.niagads.org/data/contributing-cohorts/" TargetMode="External"/><Relationship Id="rId22" Type="http://schemas.openxmlformats.org/officeDocument/2006/relationships/hyperlink" Target="https://adsp.niagads.org/data/contributing-cohorts/" TargetMode="External"/><Relationship Id="rId27" Type="http://schemas.openxmlformats.org/officeDocument/2006/relationships/hyperlink" Target="https://wrap.wisc.edu/" TargetMode="External"/><Relationship Id="rId30" Type="http://schemas.openxmlformats.org/officeDocument/2006/relationships/hyperlink" Target="https://aspree.org/" TargetMode="External"/><Relationship Id="rId35" Type="http://schemas.openxmlformats.org/officeDocument/2006/relationships/hyperlink" Target="https://www.hgsc.bcm.edu/human/charge-consortium" TargetMode="External"/><Relationship Id="rId43" Type="http://schemas.openxmlformats.org/officeDocument/2006/relationships/table" Target="../tables/table4.xml"/><Relationship Id="rId8" Type="http://schemas.openxmlformats.org/officeDocument/2006/relationships/hyperlink" Target="https://adsp.niagads.org/data/contributing-cohorts/" TargetMode="External"/><Relationship Id="rId3" Type="http://schemas.openxmlformats.org/officeDocument/2006/relationships/hyperlink" Target="https://dss.niagads.org/cohorts/nia-alzheimer-disease-research-centers-adrc/" TargetMode="External"/><Relationship Id="rId12" Type="http://schemas.openxmlformats.org/officeDocument/2006/relationships/hyperlink" Target="https://www.alz.co.uk/1066/" TargetMode="External"/><Relationship Id="rId17" Type="http://schemas.openxmlformats.org/officeDocument/2006/relationships/hyperlink" Target="https://adsp.niagads.org/data/contributing-cohorts/" TargetMode="External"/><Relationship Id="rId25" Type="http://schemas.openxmlformats.org/officeDocument/2006/relationships/hyperlink" Target="https://adsp.niagads.org/data/contributing-cohorts/" TargetMode="External"/><Relationship Id="rId33" Type="http://schemas.openxmlformats.org/officeDocument/2006/relationships/hyperlink" Target="https://www.rushu.rush.edu/research/departmental-research/minority-aging-research-study" TargetMode="External"/><Relationship Id="rId38" Type="http://schemas.openxmlformats.org/officeDocument/2006/relationships/hyperlink" Target="https://adsp.niagads.org/data/contributing-cohorts/"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dss.niagads.org/sample-sets/snd10111/" TargetMode="External"/><Relationship Id="rId21" Type="http://schemas.openxmlformats.org/officeDocument/2006/relationships/hyperlink" Target="https://dss.niagads.org/sample-sets/snd10004/" TargetMode="External"/><Relationship Id="rId42" Type="http://schemas.openxmlformats.org/officeDocument/2006/relationships/hyperlink" Target="https://dss.niagads.org/sample-sets/snd10002/" TargetMode="External"/><Relationship Id="rId47" Type="http://schemas.openxmlformats.org/officeDocument/2006/relationships/hyperlink" Target="https://dss.niagads.org/sample-sets/snd10025/" TargetMode="External"/><Relationship Id="rId63" Type="http://schemas.openxmlformats.org/officeDocument/2006/relationships/hyperlink" Target="https://dss.niagads.org/sample-sets/snd10063/" TargetMode="External"/><Relationship Id="rId68" Type="http://schemas.openxmlformats.org/officeDocument/2006/relationships/hyperlink" Target="https://dss.niagads.org/sample-sets/snd10068/" TargetMode="External"/><Relationship Id="rId2" Type="http://schemas.openxmlformats.org/officeDocument/2006/relationships/hyperlink" Target="https://dss.niagads.org/sample-sets/snd10003/" TargetMode="External"/><Relationship Id="rId16" Type="http://schemas.openxmlformats.org/officeDocument/2006/relationships/hyperlink" Target="https://dss.niagads.org/sample-sets/snd10020/" TargetMode="External"/><Relationship Id="rId29" Type="http://schemas.openxmlformats.org/officeDocument/2006/relationships/hyperlink" Target="https://dss.niagads.org/sample-sets/snd10082/" TargetMode="External"/><Relationship Id="rId11" Type="http://schemas.openxmlformats.org/officeDocument/2006/relationships/hyperlink" Target="https://dss.niagads.org/sample-sets/snd10001/" TargetMode="External"/><Relationship Id="rId24" Type="http://schemas.openxmlformats.org/officeDocument/2006/relationships/hyperlink" Target="https://dss.niagads.org/sample-sets/snd10060/" TargetMode="External"/><Relationship Id="rId32" Type="http://schemas.openxmlformats.org/officeDocument/2006/relationships/hyperlink" Target="https://dss.niagads.org/sample-sets/snd10014/" TargetMode="External"/><Relationship Id="rId37" Type="http://schemas.openxmlformats.org/officeDocument/2006/relationships/hyperlink" Target="https://dss.niagads.org/sample-sets/snd10093/" TargetMode="External"/><Relationship Id="rId40" Type="http://schemas.openxmlformats.org/officeDocument/2006/relationships/hyperlink" Target="https://dss.niagads.org/sample-sets/snd10040/" TargetMode="External"/><Relationship Id="rId45" Type="http://schemas.openxmlformats.org/officeDocument/2006/relationships/hyperlink" Target="https://dss.niagads.org/sample-sets/snd10021/" TargetMode="External"/><Relationship Id="rId53" Type="http://schemas.openxmlformats.org/officeDocument/2006/relationships/hyperlink" Target="https://dss.niagads.org/sample-sets/snd10101/" TargetMode="External"/><Relationship Id="rId58" Type="http://schemas.openxmlformats.org/officeDocument/2006/relationships/hyperlink" Target="https://dss.niagads.org/sample-sets/snd10013/" TargetMode="External"/><Relationship Id="rId66" Type="http://schemas.openxmlformats.org/officeDocument/2006/relationships/hyperlink" Target="https://dss.niagads.org/sample-sets/snd10066/" TargetMode="External"/><Relationship Id="rId74" Type="http://schemas.openxmlformats.org/officeDocument/2006/relationships/table" Target="../tables/table6.xml"/><Relationship Id="rId5" Type="http://schemas.openxmlformats.org/officeDocument/2006/relationships/hyperlink" Target="https://dss.niagads.org/sample-sets/snd10011/" TargetMode="External"/><Relationship Id="rId61" Type="http://schemas.openxmlformats.org/officeDocument/2006/relationships/hyperlink" Target="https://dss.niagads.org/sample-sets/snd10061/" TargetMode="External"/><Relationship Id="rId19" Type="http://schemas.openxmlformats.org/officeDocument/2006/relationships/hyperlink" Target="https://dss.niagads.org/sample-sets/snd10016/" TargetMode="External"/><Relationship Id="rId14" Type="http://schemas.openxmlformats.org/officeDocument/2006/relationships/hyperlink" Target="https://dss.niagads.org/sample-sets/snd10104/" TargetMode="External"/><Relationship Id="rId22" Type="http://schemas.openxmlformats.org/officeDocument/2006/relationships/hyperlink" Target="https://dss.niagads.org/sample-sets/snd10005/" TargetMode="External"/><Relationship Id="rId27" Type="http://schemas.openxmlformats.org/officeDocument/2006/relationships/hyperlink" Target="https://dss.niagads.org/sample-sets/snd10030/" TargetMode="External"/><Relationship Id="rId30" Type="http://schemas.openxmlformats.org/officeDocument/2006/relationships/hyperlink" Target="https://dss.niagads.org/sample-sets/snd10007/" TargetMode="External"/><Relationship Id="rId35" Type="http://schemas.openxmlformats.org/officeDocument/2006/relationships/hyperlink" Target="https://dss.niagads.org/studies/sa000057/" TargetMode="External"/><Relationship Id="rId43" Type="http://schemas.openxmlformats.org/officeDocument/2006/relationships/hyperlink" Target="https://dss.niagads.org/sample-sets/snd10008/" TargetMode="External"/><Relationship Id="rId48" Type="http://schemas.openxmlformats.org/officeDocument/2006/relationships/hyperlink" Target="https://dss.niagads.org/sample-sets/snd10036/" TargetMode="External"/><Relationship Id="rId56" Type="http://schemas.openxmlformats.org/officeDocument/2006/relationships/hyperlink" Target="https://dss.niagads.org/sample-sets/snd10126/" TargetMode="External"/><Relationship Id="rId64" Type="http://schemas.openxmlformats.org/officeDocument/2006/relationships/hyperlink" Target="https://dss.niagads.org/sample-sets/snd10064/" TargetMode="External"/><Relationship Id="rId69" Type="http://schemas.openxmlformats.org/officeDocument/2006/relationships/hyperlink" Target="https://dss.niagads.org/sample-sets/snd10069/" TargetMode="External"/><Relationship Id="rId8" Type="http://schemas.openxmlformats.org/officeDocument/2006/relationships/hyperlink" Target="https://dss.niagads.org/sample-sets/snd10010/" TargetMode="External"/><Relationship Id="rId51" Type="http://schemas.openxmlformats.org/officeDocument/2006/relationships/hyperlink" Target="https://dss.niagads.org/sample-sets/snd10085/" TargetMode="External"/><Relationship Id="rId72" Type="http://schemas.openxmlformats.org/officeDocument/2006/relationships/hyperlink" Target="https://dss.niagads.org/sample-sets/snd10072/" TargetMode="External"/><Relationship Id="rId3" Type="http://schemas.openxmlformats.org/officeDocument/2006/relationships/hyperlink" Target="https://dss.niagads.org/sample-sets/snd10074/" TargetMode="External"/><Relationship Id="rId12" Type="http://schemas.openxmlformats.org/officeDocument/2006/relationships/hyperlink" Target="https://dss.niagads.org/sample-sets/snd10033/" TargetMode="External"/><Relationship Id="rId17" Type="http://schemas.openxmlformats.org/officeDocument/2006/relationships/hyperlink" Target="https://dss.niagads.org/sample-sets/snd10095/" TargetMode="External"/><Relationship Id="rId25" Type="http://schemas.openxmlformats.org/officeDocument/2006/relationships/hyperlink" Target="https://dss.niagads.org/sample-sets/snd10105/" TargetMode="External"/><Relationship Id="rId33" Type="http://schemas.openxmlformats.org/officeDocument/2006/relationships/hyperlink" Target="https://dss.niagads.org/sample-sets/snd10023/" TargetMode="External"/><Relationship Id="rId38" Type="http://schemas.openxmlformats.org/officeDocument/2006/relationships/hyperlink" Target="https://dss.niagads.org/sample-sets/snd10027/" TargetMode="External"/><Relationship Id="rId46" Type="http://schemas.openxmlformats.org/officeDocument/2006/relationships/hyperlink" Target="https://dss.niagads.org/sample-sets/snd10024/" TargetMode="External"/><Relationship Id="rId59" Type="http://schemas.openxmlformats.org/officeDocument/2006/relationships/hyperlink" Target="https://dss.niagads.org/sample-sets/snd10058/" TargetMode="External"/><Relationship Id="rId67" Type="http://schemas.openxmlformats.org/officeDocument/2006/relationships/hyperlink" Target="https://dss.niagads.org/sample-sets/snd10067/" TargetMode="External"/><Relationship Id="rId20" Type="http://schemas.openxmlformats.org/officeDocument/2006/relationships/hyperlink" Target="https://dss.niagads.org/sample-sets/snd10017/" TargetMode="External"/><Relationship Id="rId41" Type="http://schemas.openxmlformats.org/officeDocument/2006/relationships/hyperlink" Target="https://dss.niagads.org/sample-sets/snd10055/" TargetMode="External"/><Relationship Id="rId54" Type="http://schemas.openxmlformats.org/officeDocument/2006/relationships/hyperlink" Target="https://dss.niagads.org/sample-sets/snd10103/" TargetMode="External"/><Relationship Id="rId62" Type="http://schemas.openxmlformats.org/officeDocument/2006/relationships/hyperlink" Target="https://dss.niagads.org/sample-sets/snd10062/" TargetMode="External"/><Relationship Id="rId70" Type="http://schemas.openxmlformats.org/officeDocument/2006/relationships/hyperlink" Target="https://dss.niagads.org/sample-sets/snd10070/" TargetMode="External"/><Relationship Id="rId1" Type="http://schemas.openxmlformats.org/officeDocument/2006/relationships/hyperlink" Target="https://dss.niagads.org/sample-sets/snd10000/" TargetMode="External"/><Relationship Id="rId6" Type="http://schemas.openxmlformats.org/officeDocument/2006/relationships/hyperlink" Target="https://dss.niagads.org/sample-sets/snd10041/" TargetMode="External"/><Relationship Id="rId15" Type="http://schemas.openxmlformats.org/officeDocument/2006/relationships/hyperlink" Target="https://dss.niagads.org/sample-sets/snd10006/" TargetMode="External"/><Relationship Id="rId23" Type="http://schemas.openxmlformats.org/officeDocument/2006/relationships/hyperlink" Target="https://dss.niagads.org/sample-sets/snd10018/" TargetMode="External"/><Relationship Id="rId28" Type="http://schemas.openxmlformats.org/officeDocument/2006/relationships/hyperlink" Target="https://dss.niagads.org/sample-sets/snd10022/" TargetMode="External"/><Relationship Id="rId36" Type="http://schemas.openxmlformats.org/officeDocument/2006/relationships/hyperlink" Target="https://dss.niagads.org/sample-sets/snd10032/" TargetMode="External"/><Relationship Id="rId49" Type="http://schemas.openxmlformats.org/officeDocument/2006/relationships/hyperlink" Target="https://dss.niagads.org/sample-sets/snd10038/" TargetMode="External"/><Relationship Id="rId57" Type="http://schemas.openxmlformats.org/officeDocument/2006/relationships/hyperlink" Target="https://dss.niagads.org/sample-sets/snd10127/" TargetMode="External"/><Relationship Id="rId10" Type="http://schemas.openxmlformats.org/officeDocument/2006/relationships/hyperlink" Target="https://dss.niagads.org/sample-sets/snd10031/" TargetMode="External"/><Relationship Id="rId31" Type="http://schemas.openxmlformats.org/officeDocument/2006/relationships/hyperlink" Target="https://dss.niagads.org/sample-sets/snd10106/" TargetMode="External"/><Relationship Id="rId44" Type="http://schemas.openxmlformats.org/officeDocument/2006/relationships/hyperlink" Target="https://dss.niagads.org/sample-sets/snd10019/" TargetMode="External"/><Relationship Id="rId52" Type="http://schemas.openxmlformats.org/officeDocument/2006/relationships/hyperlink" Target="https://dss.niagads.org/sample-sets/snd10098/" TargetMode="External"/><Relationship Id="rId60" Type="http://schemas.openxmlformats.org/officeDocument/2006/relationships/hyperlink" Target="https://dss.niagads.org/sample-sets/snd10059/" TargetMode="External"/><Relationship Id="rId65" Type="http://schemas.openxmlformats.org/officeDocument/2006/relationships/hyperlink" Target="https://dss.niagads.org/sample-sets/snd10065/" TargetMode="External"/><Relationship Id="rId73" Type="http://schemas.openxmlformats.org/officeDocument/2006/relationships/table" Target="../tables/table5.xml"/><Relationship Id="rId4" Type="http://schemas.openxmlformats.org/officeDocument/2006/relationships/hyperlink" Target="https://dss.niagads.org/sample-sets/snd10139/" TargetMode="External"/><Relationship Id="rId9" Type="http://schemas.openxmlformats.org/officeDocument/2006/relationships/hyperlink" Target="https://dss.niagads.org/sample-sets/snd10094/" TargetMode="External"/><Relationship Id="rId13" Type="http://schemas.openxmlformats.org/officeDocument/2006/relationships/hyperlink" Target="https://dss.niagads.org/sample-sets/snd10092/" TargetMode="External"/><Relationship Id="rId18" Type="http://schemas.openxmlformats.org/officeDocument/2006/relationships/hyperlink" Target="https://dss.niagads.org/sample-sets/snd10015/" TargetMode="External"/><Relationship Id="rId39" Type="http://schemas.openxmlformats.org/officeDocument/2006/relationships/hyperlink" Target="https://dss.niagads.org/sample-sets/snd10028/" TargetMode="External"/><Relationship Id="rId34" Type="http://schemas.openxmlformats.org/officeDocument/2006/relationships/hyperlink" Target="https://dss.niagads.org/sample-sets/snd10117/" TargetMode="External"/><Relationship Id="rId50" Type="http://schemas.openxmlformats.org/officeDocument/2006/relationships/hyperlink" Target="https://dss.niagads.org/sample-sets/snd10048/" TargetMode="External"/><Relationship Id="rId55" Type="http://schemas.openxmlformats.org/officeDocument/2006/relationships/hyperlink" Target="https://dss.niagads.org/sample-sets/snd10112/" TargetMode="External"/><Relationship Id="rId7" Type="http://schemas.openxmlformats.org/officeDocument/2006/relationships/hyperlink" Target="https://dss.niagads.org/sample-sets/snd10009/" TargetMode="External"/><Relationship Id="rId71" Type="http://schemas.openxmlformats.org/officeDocument/2006/relationships/hyperlink" Target="https://dss.niagads.org/sample-sets/snd100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914CF-6AD2-40A2-B991-57DEC175FE2C}">
  <dimension ref="A2:W313"/>
  <sheetViews>
    <sheetView tabSelected="1" zoomScale="80" zoomScaleNormal="80" workbookViewId="0">
      <selection activeCell="F9" sqref="F9"/>
    </sheetView>
  </sheetViews>
  <sheetFormatPr defaultRowHeight="15" x14ac:dyDescent="0.25"/>
  <cols>
    <col min="1" max="1" width="13.42578125" bestFit="1" customWidth="1"/>
    <col min="2" max="2" width="12.7109375" bestFit="1" customWidth="1"/>
    <col min="3" max="3" width="51.7109375" customWidth="1"/>
    <col min="4" max="4" width="8.85546875" bestFit="1" customWidth="1"/>
    <col min="5" max="5" width="26.5703125" customWidth="1"/>
    <col min="6" max="6" width="44.28515625" customWidth="1"/>
    <col min="7" max="7" width="8" bestFit="1" customWidth="1"/>
    <col min="8" max="8" width="13.42578125" bestFit="1" customWidth="1"/>
    <col min="9" max="9" width="10.140625" bestFit="1" customWidth="1"/>
    <col min="10" max="10" width="15.5703125" style="5" bestFit="1" customWidth="1"/>
    <col min="11" max="11" width="15.85546875" style="9" bestFit="1" customWidth="1"/>
    <col min="12" max="12" width="11.7109375" bestFit="1" customWidth="1"/>
    <col min="13" max="13" width="10.7109375" bestFit="1" customWidth="1"/>
    <col min="14" max="14" width="17.85546875" bestFit="1" customWidth="1"/>
    <col min="15" max="15" width="13.140625" bestFit="1" customWidth="1"/>
    <col min="16" max="16" width="9.28515625" bestFit="1" customWidth="1"/>
    <col min="17" max="17" width="8.7109375" bestFit="1" customWidth="1"/>
    <col min="19" max="19" width="10.7109375" bestFit="1" customWidth="1"/>
    <col min="20" max="20" width="17.85546875" bestFit="1" customWidth="1"/>
    <col min="21" max="21" width="13.140625" bestFit="1" customWidth="1"/>
    <col min="22" max="22" width="24.140625" bestFit="1" customWidth="1"/>
    <col min="23" max="23" width="158.5703125" bestFit="1" customWidth="1"/>
  </cols>
  <sheetData>
    <row r="2" spans="1:23" x14ac:dyDescent="0.25">
      <c r="A2" s="41" t="s">
        <v>1058</v>
      </c>
    </row>
    <row r="3" spans="1:23" x14ac:dyDescent="0.25">
      <c r="A3" s="169" t="s">
        <v>1059</v>
      </c>
      <c r="B3" s="169"/>
      <c r="C3" s="169"/>
      <c r="D3" s="169"/>
      <c r="E3" s="169"/>
      <c r="F3" s="169"/>
      <c r="G3" s="169"/>
      <c r="H3" s="169"/>
      <c r="I3" s="169"/>
      <c r="J3" s="169"/>
      <c r="K3" s="169"/>
      <c r="L3" s="169"/>
      <c r="M3" s="169"/>
      <c r="N3" s="169"/>
      <c r="O3" s="169"/>
      <c r="P3" s="169"/>
      <c r="Q3" s="169"/>
      <c r="R3" s="169"/>
      <c r="S3" s="169"/>
      <c r="T3" s="169"/>
      <c r="U3" s="169"/>
      <c r="V3" s="169"/>
      <c r="W3" s="169"/>
    </row>
    <row r="5" spans="1:23" ht="36" x14ac:dyDescent="0.25">
      <c r="A5" s="189" t="s">
        <v>689</v>
      </c>
      <c r="B5" s="23" t="s">
        <v>690</v>
      </c>
      <c r="C5" s="23" t="s">
        <v>691</v>
      </c>
      <c r="D5" s="23" t="s">
        <v>260</v>
      </c>
      <c r="E5" s="23" t="s">
        <v>813</v>
      </c>
      <c r="F5" s="23" t="s">
        <v>692</v>
      </c>
      <c r="G5" s="24" t="s">
        <v>693</v>
      </c>
      <c r="H5" s="24" t="s">
        <v>694</v>
      </c>
      <c r="I5" s="24" t="s">
        <v>925</v>
      </c>
      <c r="J5" s="35" t="s">
        <v>937</v>
      </c>
      <c r="K5" s="35" t="s">
        <v>938</v>
      </c>
      <c r="L5" s="35" t="s">
        <v>939</v>
      </c>
      <c r="M5" s="35" t="s">
        <v>940</v>
      </c>
      <c r="N5" s="35" t="s">
        <v>941</v>
      </c>
      <c r="O5" s="35" t="s">
        <v>942</v>
      </c>
      <c r="P5" s="36" t="s">
        <v>937</v>
      </c>
      <c r="Q5" s="36" t="s">
        <v>938</v>
      </c>
      <c r="R5" s="36" t="s">
        <v>939</v>
      </c>
      <c r="S5" s="36" t="s">
        <v>940</v>
      </c>
      <c r="T5" s="36" t="s">
        <v>941</v>
      </c>
      <c r="U5" s="36" t="s">
        <v>942</v>
      </c>
      <c r="V5" s="200" t="s">
        <v>870</v>
      </c>
      <c r="W5" s="201" t="s">
        <v>962</v>
      </c>
    </row>
    <row r="6" spans="1:23" x14ac:dyDescent="0.25">
      <c r="A6" s="190" t="s">
        <v>695</v>
      </c>
      <c r="B6" s="163">
        <v>2007</v>
      </c>
      <c r="C6" s="163" t="s">
        <v>696</v>
      </c>
      <c r="D6" s="163" t="s">
        <v>857</v>
      </c>
      <c r="E6" s="193" t="s">
        <v>924</v>
      </c>
      <c r="F6" s="28" t="s">
        <v>697</v>
      </c>
      <c r="G6" s="25">
        <v>380</v>
      </c>
      <c r="H6" s="25">
        <v>396</v>
      </c>
      <c r="I6" s="25">
        <f>SUM(G6:H6)</f>
        <v>776</v>
      </c>
      <c r="J6" s="34">
        <v>0</v>
      </c>
      <c r="K6" s="34">
        <v>0</v>
      </c>
      <c r="L6" s="34">
        <v>0</v>
      </c>
      <c r="M6" s="34">
        <v>0</v>
      </c>
      <c r="N6" s="25">
        <v>380</v>
      </c>
      <c r="O6" s="34">
        <v>0</v>
      </c>
      <c r="P6" s="34">
        <v>0</v>
      </c>
      <c r="Q6" s="34">
        <v>0</v>
      </c>
      <c r="R6" s="34">
        <v>0</v>
      </c>
      <c r="S6" s="34">
        <v>0</v>
      </c>
      <c r="T6" s="25">
        <v>396</v>
      </c>
      <c r="U6" s="34">
        <v>0</v>
      </c>
      <c r="V6" s="164" t="s">
        <v>11</v>
      </c>
      <c r="W6" s="43" t="s">
        <v>982</v>
      </c>
    </row>
    <row r="7" spans="1:23" x14ac:dyDescent="0.25">
      <c r="A7" s="190"/>
      <c r="B7" s="163"/>
      <c r="C7" s="163"/>
      <c r="D7" s="163"/>
      <c r="E7" s="163"/>
      <c r="F7" s="28" t="s">
        <v>698</v>
      </c>
      <c r="G7" s="25">
        <v>309</v>
      </c>
      <c r="H7" s="25">
        <v>349</v>
      </c>
      <c r="I7" s="25">
        <f t="shared" ref="I7:I70" si="0">SUM(G7:H7)</f>
        <v>658</v>
      </c>
      <c r="J7" s="34">
        <v>0</v>
      </c>
      <c r="K7" s="34">
        <v>0</v>
      </c>
      <c r="L7" s="34">
        <v>0</v>
      </c>
      <c r="M7" s="34">
        <v>0</v>
      </c>
      <c r="N7" s="25">
        <v>309</v>
      </c>
      <c r="O7" s="34">
        <v>0</v>
      </c>
      <c r="P7" s="34">
        <v>0</v>
      </c>
      <c r="Q7" s="34">
        <v>0</v>
      </c>
      <c r="R7" s="34">
        <v>0</v>
      </c>
      <c r="S7" s="34">
        <v>0</v>
      </c>
      <c r="T7" s="25">
        <v>349</v>
      </c>
      <c r="U7" s="34">
        <v>0</v>
      </c>
      <c r="V7" s="164"/>
      <c r="W7" s="43" t="s">
        <v>983</v>
      </c>
    </row>
    <row r="8" spans="1:23" x14ac:dyDescent="0.25">
      <c r="A8" s="190"/>
      <c r="B8" s="163"/>
      <c r="C8" s="163"/>
      <c r="D8" s="163"/>
      <c r="E8" s="163"/>
      <c r="F8" s="28" t="s">
        <v>699</v>
      </c>
      <c r="G8" s="25">
        <v>503</v>
      </c>
      <c r="H8" s="25">
        <v>643</v>
      </c>
      <c r="I8" s="25">
        <f t="shared" si="0"/>
        <v>1146</v>
      </c>
      <c r="J8" s="34">
        <v>0</v>
      </c>
      <c r="K8" s="34">
        <v>0</v>
      </c>
      <c r="L8" s="34">
        <v>0</v>
      </c>
      <c r="M8" s="34">
        <v>0</v>
      </c>
      <c r="N8" s="25">
        <v>503</v>
      </c>
      <c r="O8" s="34">
        <v>0</v>
      </c>
      <c r="P8" s="34">
        <v>0</v>
      </c>
      <c r="Q8" s="34">
        <v>0</v>
      </c>
      <c r="R8" s="34">
        <v>0</v>
      </c>
      <c r="S8" s="34">
        <v>0</v>
      </c>
      <c r="T8" s="25">
        <v>643</v>
      </c>
      <c r="U8" s="34">
        <v>0</v>
      </c>
      <c r="V8" s="164"/>
      <c r="W8" s="43" t="s">
        <v>20</v>
      </c>
    </row>
    <row r="9" spans="1:23" x14ac:dyDescent="0.25">
      <c r="A9" s="190"/>
      <c r="B9" s="163"/>
      <c r="C9" s="163"/>
      <c r="D9" s="163"/>
      <c r="E9" s="163"/>
      <c r="F9" s="28" t="s">
        <v>700</v>
      </c>
      <c r="G9" s="25">
        <v>376</v>
      </c>
      <c r="H9" s="25">
        <v>344</v>
      </c>
      <c r="I9" s="25">
        <f t="shared" si="0"/>
        <v>720</v>
      </c>
      <c r="J9" s="34">
        <v>0</v>
      </c>
      <c r="K9" s="34">
        <v>0</v>
      </c>
      <c r="L9" s="34">
        <v>0</v>
      </c>
      <c r="M9" s="34">
        <v>0</v>
      </c>
      <c r="N9" s="25">
        <v>376</v>
      </c>
      <c r="O9" s="34">
        <v>0</v>
      </c>
      <c r="P9" s="34">
        <v>0</v>
      </c>
      <c r="Q9" s="34">
        <v>0</v>
      </c>
      <c r="R9" s="34">
        <v>0</v>
      </c>
      <c r="S9" s="34">
        <v>0</v>
      </c>
      <c r="T9" s="25">
        <v>344</v>
      </c>
      <c r="U9" s="34">
        <v>0</v>
      </c>
      <c r="V9" s="164"/>
      <c r="W9" s="43" t="s">
        <v>20</v>
      </c>
    </row>
    <row r="10" spans="1:23" x14ac:dyDescent="0.25">
      <c r="A10" s="190"/>
      <c r="B10" s="163"/>
      <c r="C10" s="163"/>
      <c r="D10" s="163"/>
      <c r="E10" s="163"/>
      <c r="F10" s="28" t="s">
        <v>701</v>
      </c>
      <c r="G10" s="25">
        <v>240</v>
      </c>
      <c r="H10" s="25">
        <v>330</v>
      </c>
      <c r="I10" s="25">
        <f t="shared" si="0"/>
        <v>570</v>
      </c>
      <c r="J10" s="34">
        <v>0</v>
      </c>
      <c r="K10" s="34">
        <v>0</v>
      </c>
      <c r="L10" s="34">
        <v>0</v>
      </c>
      <c r="M10" s="34">
        <v>0</v>
      </c>
      <c r="N10" s="25">
        <v>240</v>
      </c>
      <c r="O10" s="34">
        <v>0</v>
      </c>
      <c r="P10" s="34">
        <v>0</v>
      </c>
      <c r="Q10" s="34">
        <v>0</v>
      </c>
      <c r="R10" s="34">
        <v>0</v>
      </c>
      <c r="S10" s="34">
        <v>0</v>
      </c>
      <c r="T10" s="25">
        <v>330</v>
      </c>
      <c r="U10" s="34">
        <v>0</v>
      </c>
      <c r="V10" s="164"/>
      <c r="W10" s="43" t="s">
        <v>20</v>
      </c>
    </row>
    <row r="11" spans="1:23" x14ac:dyDescent="0.25">
      <c r="A11" s="190"/>
      <c r="B11" s="163"/>
      <c r="C11" s="163"/>
      <c r="D11" s="163"/>
      <c r="E11" s="163"/>
      <c r="F11" s="26" t="s">
        <v>702</v>
      </c>
      <c r="G11" s="27">
        <f>SUM(G6:G10)</f>
        <v>1808</v>
      </c>
      <c r="H11" s="27">
        <f>SUM(H6:H10)</f>
        <v>2062</v>
      </c>
      <c r="I11" s="194">
        <f t="shared" si="0"/>
        <v>3870</v>
      </c>
      <c r="J11" s="39">
        <v>0</v>
      </c>
      <c r="K11" s="195">
        <f t="shared" ref="K11:T11" si="1">SUM(K6:K10)</f>
        <v>0</v>
      </c>
      <c r="L11" s="195">
        <f t="shared" si="1"/>
        <v>0</v>
      </c>
      <c r="M11" s="195">
        <f t="shared" si="1"/>
        <v>0</v>
      </c>
      <c r="N11" s="27">
        <f t="shared" si="1"/>
        <v>1808</v>
      </c>
      <c r="O11" s="27">
        <f t="shared" si="1"/>
        <v>0</v>
      </c>
      <c r="P11" s="27">
        <f t="shared" si="1"/>
        <v>0</v>
      </c>
      <c r="Q11" s="27">
        <f t="shared" si="1"/>
        <v>0</v>
      </c>
      <c r="R11" s="27">
        <f t="shared" si="1"/>
        <v>0</v>
      </c>
      <c r="S11" s="27">
        <f t="shared" si="1"/>
        <v>0</v>
      </c>
      <c r="T11" s="27">
        <f t="shared" si="1"/>
        <v>2062</v>
      </c>
      <c r="U11" s="27">
        <f>SUM(U6:U10)</f>
        <v>0</v>
      </c>
      <c r="V11" s="30"/>
      <c r="W11" s="26"/>
    </row>
    <row r="12" spans="1:23" x14ac:dyDescent="0.25">
      <c r="A12" s="165" t="s">
        <v>703</v>
      </c>
      <c r="B12" s="163">
        <v>2008</v>
      </c>
      <c r="C12" s="163" t="s">
        <v>704</v>
      </c>
      <c r="D12" s="163" t="s">
        <v>856</v>
      </c>
      <c r="E12" s="193" t="s">
        <v>923</v>
      </c>
      <c r="F12" s="28" t="s">
        <v>37</v>
      </c>
      <c r="G12" s="25">
        <v>941</v>
      </c>
      <c r="H12" s="25">
        <v>404</v>
      </c>
      <c r="I12" s="25">
        <f t="shared" si="0"/>
        <v>1345</v>
      </c>
      <c r="J12" s="34">
        <v>0</v>
      </c>
      <c r="K12" s="34">
        <v>0</v>
      </c>
      <c r="L12" s="34">
        <v>0</v>
      </c>
      <c r="M12" s="34">
        <v>0</v>
      </c>
      <c r="N12" s="25">
        <v>941</v>
      </c>
      <c r="O12" s="34">
        <v>0</v>
      </c>
      <c r="P12" s="34">
        <v>0</v>
      </c>
      <c r="Q12" s="34">
        <v>0</v>
      </c>
      <c r="R12" s="34">
        <v>0</v>
      </c>
      <c r="S12" s="34">
        <v>0</v>
      </c>
      <c r="T12" s="25">
        <v>404</v>
      </c>
      <c r="U12" s="34">
        <v>0</v>
      </c>
      <c r="V12" s="45" t="s">
        <v>11</v>
      </c>
      <c r="W12" s="43" t="s">
        <v>981</v>
      </c>
    </row>
    <row r="13" spans="1:23" x14ac:dyDescent="0.25">
      <c r="A13" s="167"/>
      <c r="B13" s="163"/>
      <c r="C13" s="163"/>
      <c r="D13" s="163"/>
      <c r="E13" s="163"/>
      <c r="F13" s="26" t="s">
        <v>702</v>
      </c>
      <c r="G13" s="27">
        <f>SUM(G12)</f>
        <v>941</v>
      </c>
      <c r="H13" s="27">
        <f>SUM(H12)</f>
        <v>404</v>
      </c>
      <c r="I13" s="194">
        <f t="shared" si="0"/>
        <v>1345</v>
      </c>
      <c r="J13" s="39">
        <v>0</v>
      </c>
      <c r="K13" s="27">
        <v>0</v>
      </c>
      <c r="L13" s="27">
        <v>0</v>
      </c>
      <c r="M13" s="27">
        <v>0</v>
      </c>
      <c r="N13" s="27">
        <f>SUM(N12)</f>
        <v>941</v>
      </c>
      <c r="O13" s="27">
        <v>0</v>
      </c>
      <c r="P13" s="27">
        <v>0</v>
      </c>
      <c r="Q13" s="27">
        <v>0</v>
      </c>
      <c r="R13" s="27">
        <v>0</v>
      </c>
      <c r="S13" s="27">
        <v>0</v>
      </c>
      <c r="T13" s="27">
        <f>SUM(T12)</f>
        <v>404</v>
      </c>
      <c r="U13" s="27">
        <v>0</v>
      </c>
      <c r="V13" s="30"/>
      <c r="W13" s="26"/>
    </row>
    <row r="14" spans="1:23" x14ac:dyDescent="0.25">
      <c r="A14" s="190" t="s">
        <v>705</v>
      </c>
      <c r="B14" s="163">
        <v>2009</v>
      </c>
      <c r="C14" s="163" t="s">
        <v>706</v>
      </c>
      <c r="D14" s="163" t="s">
        <v>855</v>
      </c>
      <c r="E14" s="193" t="s">
        <v>922</v>
      </c>
      <c r="F14" s="28" t="s">
        <v>95</v>
      </c>
      <c r="G14" s="25">
        <v>1221</v>
      </c>
      <c r="H14" s="25">
        <v>1044</v>
      </c>
      <c r="I14" s="25">
        <f t="shared" si="0"/>
        <v>2265</v>
      </c>
      <c r="J14" s="34">
        <v>0</v>
      </c>
      <c r="K14" s="25">
        <v>81</v>
      </c>
      <c r="L14" s="25">
        <v>0</v>
      </c>
      <c r="M14" s="25">
        <v>0</v>
      </c>
      <c r="N14" s="25">
        <f>G14-K14</f>
        <v>1140</v>
      </c>
      <c r="O14" s="25">
        <v>0</v>
      </c>
      <c r="P14" s="25">
        <v>0</v>
      </c>
      <c r="Q14" s="25">
        <v>0</v>
      </c>
      <c r="R14" s="25">
        <v>0</v>
      </c>
      <c r="S14" s="25">
        <v>0</v>
      </c>
      <c r="T14" s="25">
        <v>1044</v>
      </c>
      <c r="U14" s="25">
        <v>0</v>
      </c>
      <c r="V14" s="164" t="s">
        <v>11</v>
      </c>
      <c r="W14" s="43" t="s">
        <v>963</v>
      </c>
    </row>
    <row r="15" spans="1:23" x14ac:dyDescent="0.25">
      <c r="A15" s="190"/>
      <c r="B15" s="163"/>
      <c r="C15" s="163"/>
      <c r="D15" s="163"/>
      <c r="E15" s="163"/>
      <c r="F15" s="28" t="s">
        <v>707</v>
      </c>
      <c r="G15" s="25">
        <f>680+1709</f>
        <v>2389</v>
      </c>
      <c r="H15" s="25">
        <f>4634+137</f>
        <v>4771</v>
      </c>
      <c r="I15" s="25">
        <f t="shared" si="0"/>
        <v>7160</v>
      </c>
      <c r="J15" s="34">
        <v>0</v>
      </c>
      <c r="K15" s="25">
        <v>0</v>
      </c>
      <c r="L15" s="25">
        <v>0</v>
      </c>
      <c r="M15" s="25">
        <v>0</v>
      </c>
      <c r="N15" s="25">
        <f>680+1709</f>
        <v>2389</v>
      </c>
      <c r="O15" s="25">
        <v>0</v>
      </c>
      <c r="P15" s="25">
        <v>0</v>
      </c>
      <c r="Q15" s="25">
        <v>0</v>
      </c>
      <c r="R15" s="25">
        <v>0</v>
      </c>
      <c r="S15" s="25">
        <v>0</v>
      </c>
      <c r="T15" s="25">
        <f>4634+137</f>
        <v>4771</v>
      </c>
      <c r="U15" s="25">
        <v>0</v>
      </c>
      <c r="V15" s="164"/>
      <c r="W15" s="43" t="s">
        <v>20</v>
      </c>
    </row>
    <row r="16" spans="1:23" x14ac:dyDescent="0.25">
      <c r="A16" s="190"/>
      <c r="B16" s="163"/>
      <c r="C16" s="163"/>
      <c r="D16" s="163"/>
      <c r="E16" s="163"/>
      <c r="F16" s="28" t="s">
        <v>700</v>
      </c>
      <c r="G16" s="25">
        <v>503</v>
      </c>
      <c r="H16" s="25">
        <v>300</v>
      </c>
      <c r="I16" s="25">
        <f t="shared" si="0"/>
        <v>803</v>
      </c>
      <c r="J16" s="34">
        <v>0</v>
      </c>
      <c r="K16" s="25">
        <v>0</v>
      </c>
      <c r="L16" s="25">
        <v>0</v>
      </c>
      <c r="M16" s="25">
        <v>0</v>
      </c>
      <c r="N16" s="25">
        <v>503</v>
      </c>
      <c r="O16" s="25">
        <v>0</v>
      </c>
      <c r="P16" s="25">
        <v>0</v>
      </c>
      <c r="Q16" s="25">
        <v>0</v>
      </c>
      <c r="R16" s="25">
        <v>0</v>
      </c>
      <c r="S16" s="25">
        <v>0</v>
      </c>
      <c r="T16" s="25">
        <v>300</v>
      </c>
      <c r="U16" s="25">
        <v>0</v>
      </c>
      <c r="V16" s="164"/>
      <c r="W16" s="43" t="s">
        <v>20</v>
      </c>
    </row>
    <row r="17" spans="1:23" x14ac:dyDescent="0.25">
      <c r="A17" s="190"/>
      <c r="B17" s="163"/>
      <c r="C17" s="163"/>
      <c r="D17" s="163"/>
      <c r="E17" s="163"/>
      <c r="F17" s="28" t="s">
        <v>708</v>
      </c>
      <c r="G17" s="25">
        <v>0</v>
      </c>
      <c r="H17" s="25">
        <v>808</v>
      </c>
      <c r="I17" s="25">
        <f t="shared" si="0"/>
        <v>808</v>
      </c>
      <c r="J17" s="34">
        <v>0</v>
      </c>
      <c r="K17" s="25">
        <v>0</v>
      </c>
      <c r="L17" s="25">
        <v>0</v>
      </c>
      <c r="M17" s="25">
        <v>0</v>
      </c>
      <c r="N17" s="25">
        <v>0</v>
      </c>
      <c r="O17" s="25">
        <v>0</v>
      </c>
      <c r="P17" s="25">
        <v>0</v>
      </c>
      <c r="Q17" s="25">
        <v>0</v>
      </c>
      <c r="R17" s="25">
        <v>0</v>
      </c>
      <c r="S17" s="25">
        <v>0</v>
      </c>
      <c r="T17" s="25">
        <v>808</v>
      </c>
      <c r="U17" s="25">
        <v>0</v>
      </c>
      <c r="V17" s="164"/>
      <c r="W17" s="43" t="s">
        <v>964</v>
      </c>
    </row>
    <row r="18" spans="1:23" x14ac:dyDescent="0.25">
      <c r="A18" s="190"/>
      <c r="B18" s="163"/>
      <c r="C18" s="163"/>
      <c r="D18" s="163"/>
      <c r="E18" s="163"/>
      <c r="F18" s="28" t="s">
        <v>36</v>
      </c>
      <c r="G18" s="25">
        <v>0</v>
      </c>
      <c r="H18" s="25">
        <v>380</v>
      </c>
      <c r="I18" s="25">
        <f t="shared" si="0"/>
        <v>380</v>
      </c>
      <c r="J18" s="34">
        <v>0</v>
      </c>
      <c r="K18" s="25">
        <v>0</v>
      </c>
      <c r="L18" s="25">
        <v>0</v>
      </c>
      <c r="M18" s="25">
        <v>0</v>
      </c>
      <c r="N18" s="25">
        <v>0</v>
      </c>
      <c r="O18" s="25">
        <v>0</v>
      </c>
      <c r="P18" s="25">
        <v>0</v>
      </c>
      <c r="Q18" s="25">
        <v>0</v>
      </c>
      <c r="R18" s="25">
        <v>0</v>
      </c>
      <c r="S18" s="25">
        <v>0</v>
      </c>
      <c r="T18" s="25">
        <v>380</v>
      </c>
      <c r="U18" s="25">
        <v>0</v>
      </c>
      <c r="V18" s="164"/>
      <c r="W18" s="43" t="s">
        <v>964</v>
      </c>
    </row>
    <row r="19" spans="1:23" x14ac:dyDescent="0.25">
      <c r="A19" s="190"/>
      <c r="B19" s="163"/>
      <c r="C19" s="163"/>
      <c r="D19" s="163"/>
      <c r="E19" s="163"/>
      <c r="F19" s="28" t="s">
        <v>709</v>
      </c>
      <c r="G19" s="25">
        <v>0</v>
      </c>
      <c r="H19" s="25">
        <v>1124</v>
      </c>
      <c r="I19" s="25">
        <f t="shared" si="0"/>
        <v>1124</v>
      </c>
      <c r="J19" s="34">
        <v>0</v>
      </c>
      <c r="K19" s="25">
        <v>0</v>
      </c>
      <c r="L19" s="25">
        <v>0</v>
      </c>
      <c r="M19" s="25">
        <v>0</v>
      </c>
      <c r="N19" s="25">
        <v>0</v>
      </c>
      <c r="O19" s="25">
        <v>0</v>
      </c>
      <c r="P19" s="25">
        <v>0</v>
      </c>
      <c r="Q19" s="25">
        <v>0</v>
      </c>
      <c r="R19" s="25">
        <v>0</v>
      </c>
      <c r="S19" s="25">
        <v>0</v>
      </c>
      <c r="T19" s="25">
        <v>1124</v>
      </c>
      <c r="U19" s="25">
        <v>0</v>
      </c>
      <c r="V19" s="164"/>
      <c r="W19" s="43" t="s">
        <v>969</v>
      </c>
    </row>
    <row r="20" spans="1:23" x14ac:dyDescent="0.25">
      <c r="A20" s="190"/>
      <c r="B20" s="163"/>
      <c r="C20" s="163"/>
      <c r="D20" s="163"/>
      <c r="E20" s="163"/>
      <c r="F20" s="28" t="s">
        <v>710</v>
      </c>
      <c r="G20" s="25">
        <v>844</v>
      </c>
      <c r="H20" s="25">
        <v>1255</v>
      </c>
      <c r="I20" s="25">
        <f t="shared" si="0"/>
        <v>2099</v>
      </c>
      <c r="J20" s="34">
        <v>0</v>
      </c>
      <c r="K20" s="25">
        <v>250</v>
      </c>
      <c r="L20" s="25">
        <v>0</v>
      </c>
      <c r="M20" s="25">
        <v>0</v>
      </c>
      <c r="N20" s="25">
        <f>G20-K20</f>
        <v>594</v>
      </c>
      <c r="O20" s="25">
        <v>0</v>
      </c>
      <c r="P20" s="25">
        <v>0</v>
      </c>
      <c r="Q20" s="25">
        <v>0</v>
      </c>
      <c r="R20" s="25">
        <v>0</v>
      </c>
      <c r="S20" s="25">
        <v>0</v>
      </c>
      <c r="T20" s="25">
        <v>1255</v>
      </c>
      <c r="U20" s="25">
        <v>0</v>
      </c>
      <c r="V20" s="164"/>
      <c r="W20" s="43" t="s">
        <v>969</v>
      </c>
    </row>
    <row r="21" spans="1:23" x14ac:dyDescent="0.25">
      <c r="A21" s="190"/>
      <c r="B21" s="163"/>
      <c r="C21" s="163"/>
      <c r="D21" s="163"/>
      <c r="E21" s="163"/>
      <c r="F21" s="26" t="s">
        <v>702</v>
      </c>
      <c r="G21" s="27">
        <f>SUM(G14:G20)</f>
        <v>4957</v>
      </c>
      <c r="H21" s="27">
        <f>SUM(H14:H20)</f>
        <v>9682</v>
      </c>
      <c r="I21" s="194">
        <f t="shared" si="0"/>
        <v>14639</v>
      </c>
      <c r="J21" s="39">
        <v>0</v>
      </c>
      <c r="K21" s="27">
        <f>SUM(K14:K20)</f>
        <v>331</v>
      </c>
      <c r="L21" s="27">
        <f t="shared" ref="L21:U21" si="2">SUM(L14:L20)</f>
        <v>0</v>
      </c>
      <c r="M21" s="27">
        <f t="shared" si="2"/>
        <v>0</v>
      </c>
      <c r="N21" s="27">
        <f>SUM(N14:N20)</f>
        <v>4626</v>
      </c>
      <c r="O21" s="27">
        <f t="shared" si="2"/>
        <v>0</v>
      </c>
      <c r="P21" s="27">
        <f t="shared" si="2"/>
        <v>0</v>
      </c>
      <c r="Q21" s="27">
        <f t="shared" si="2"/>
        <v>0</v>
      </c>
      <c r="R21" s="27">
        <f t="shared" si="2"/>
        <v>0</v>
      </c>
      <c r="S21" s="27">
        <f t="shared" si="2"/>
        <v>0</v>
      </c>
      <c r="T21" s="27">
        <f t="shared" si="2"/>
        <v>9682</v>
      </c>
      <c r="U21" s="27">
        <f t="shared" si="2"/>
        <v>0</v>
      </c>
      <c r="V21" s="30"/>
      <c r="W21" s="26"/>
    </row>
    <row r="22" spans="1:23" x14ac:dyDescent="0.25">
      <c r="A22" s="190" t="s">
        <v>711</v>
      </c>
      <c r="B22" s="163">
        <v>2009</v>
      </c>
      <c r="C22" s="163" t="s">
        <v>712</v>
      </c>
      <c r="D22" s="163" t="s">
        <v>854</v>
      </c>
      <c r="E22" s="193" t="s">
        <v>921</v>
      </c>
      <c r="F22" s="28" t="s">
        <v>713</v>
      </c>
      <c r="G22" s="25">
        <v>2025</v>
      </c>
      <c r="H22" s="25">
        <v>0</v>
      </c>
      <c r="I22" s="25">
        <f t="shared" si="0"/>
        <v>2025</v>
      </c>
      <c r="J22" s="34">
        <v>0</v>
      </c>
      <c r="K22" s="34">
        <v>0</v>
      </c>
      <c r="L22" s="34">
        <v>0</v>
      </c>
      <c r="M22" s="34">
        <v>0</v>
      </c>
      <c r="N22" s="25">
        <v>2025</v>
      </c>
      <c r="O22" s="25">
        <v>0</v>
      </c>
      <c r="P22" s="25">
        <v>0</v>
      </c>
      <c r="Q22" s="25">
        <v>0</v>
      </c>
      <c r="R22" s="25">
        <v>0</v>
      </c>
      <c r="S22" s="25">
        <v>0</v>
      </c>
      <c r="T22" s="25">
        <v>0</v>
      </c>
      <c r="U22" s="25">
        <v>0</v>
      </c>
      <c r="V22" s="164" t="s">
        <v>11</v>
      </c>
      <c r="W22" s="162" t="s">
        <v>963</v>
      </c>
    </row>
    <row r="23" spans="1:23" x14ac:dyDescent="0.25">
      <c r="A23" s="190"/>
      <c r="B23" s="163"/>
      <c r="C23" s="163"/>
      <c r="D23" s="163"/>
      <c r="E23" s="163"/>
      <c r="F23" s="28" t="s">
        <v>714</v>
      </c>
      <c r="G23" s="25">
        <v>0</v>
      </c>
      <c r="H23" s="25">
        <v>5328</v>
      </c>
      <c r="I23" s="25">
        <f t="shared" si="0"/>
        <v>5328</v>
      </c>
      <c r="J23" s="34">
        <v>0</v>
      </c>
      <c r="K23" s="34">
        <v>0</v>
      </c>
      <c r="L23" s="34">
        <v>0</v>
      </c>
      <c r="M23" s="34">
        <v>0</v>
      </c>
      <c r="N23" s="25">
        <v>0</v>
      </c>
      <c r="O23" s="25">
        <v>0</v>
      </c>
      <c r="P23" s="25">
        <v>0</v>
      </c>
      <c r="Q23" s="25">
        <v>0</v>
      </c>
      <c r="R23" s="25">
        <v>0</v>
      </c>
      <c r="S23" s="25">
        <v>0</v>
      </c>
      <c r="T23" s="25">
        <v>5328</v>
      </c>
      <c r="U23" s="25">
        <v>0</v>
      </c>
      <c r="V23" s="164"/>
      <c r="W23" s="162"/>
    </row>
    <row r="24" spans="1:23" x14ac:dyDescent="0.25">
      <c r="A24" s="190"/>
      <c r="B24" s="163"/>
      <c r="C24" s="163"/>
      <c r="D24" s="163"/>
      <c r="E24" s="163"/>
      <c r="F24" s="26" t="s">
        <v>702</v>
      </c>
      <c r="G24" s="27">
        <f>SUM(G22:G23)</f>
        <v>2025</v>
      </c>
      <c r="H24" s="27">
        <f>SUM(H22:H23)</f>
        <v>5328</v>
      </c>
      <c r="I24" s="194">
        <f t="shared" si="0"/>
        <v>7353</v>
      </c>
      <c r="J24" s="39">
        <v>0</v>
      </c>
      <c r="K24" s="27">
        <f t="shared" ref="K24:U24" si="3">SUM(K22:K23)</f>
        <v>0</v>
      </c>
      <c r="L24" s="27">
        <f t="shared" si="3"/>
        <v>0</v>
      </c>
      <c r="M24" s="27">
        <f t="shared" si="3"/>
        <v>0</v>
      </c>
      <c r="N24" s="27">
        <f t="shared" si="3"/>
        <v>2025</v>
      </c>
      <c r="O24" s="27">
        <f t="shared" si="3"/>
        <v>0</v>
      </c>
      <c r="P24" s="27">
        <f t="shared" si="3"/>
        <v>0</v>
      </c>
      <c r="Q24" s="27">
        <f t="shared" si="3"/>
        <v>0</v>
      </c>
      <c r="R24" s="27">
        <f t="shared" si="3"/>
        <v>0</v>
      </c>
      <c r="S24" s="27">
        <f t="shared" si="3"/>
        <v>0</v>
      </c>
      <c r="T24" s="27">
        <f t="shared" si="3"/>
        <v>5328</v>
      </c>
      <c r="U24" s="27">
        <f t="shared" si="3"/>
        <v>0</v>
      </c>
      <c r="V24" s="30"/>
      <c r="W24" s="26"/>
    </row>
    <row r="25" spans="1:23" x14ac:dyDescent="0.25">
      <c r="A25" s="190" t="s">
        <v>715</v>
      </c>
      <c r="B25" s="163">
        <v>2010</v>
      </c>
      <c r="C25" s="163" t="s">
        <v>716</v>
      </c>
      <c r="D25" s="163" t="s">
        <v>853</v>
      </c>
      <c r="E25" s="193" t="s">
        <v>920</v>
      </c>
      <c r="F25" s="28" t="s">
        <v>93</v>
      </c>
      <c r="G25" s="25">
        <v>210</v>
      </c>
      <c r="H25" s="25">
        <v>449</v>
      </c>
      <c r="I25" s="25">
        <f t="shared" si="0"/>
        <v>659</v>
      </c>
      <c r="J25" s="34">
        <v>0</v>
      </c>
      <c r="K25" s="25">
        <v>0</v>
      </c>
      <c r="L25" s="25">
        <v>0</v>
      </c>
      <c r="M25" s="25">
        <v>0</v>
      </c>
      <c r="N25" s="25">
        <v>210</v>
      </c>
      <c r="O25" s="25">
        <v>0</v>
      </c>
      <c r="P25" s="25">
        <v>0</v>
      </c>
      <c r="Q25" s="25">
        <v>0</v>
      </c>
      <c r="R25" s="25">
        <v>0</v>
      </c>
      <c r="S25" s="25">
        <v>0</v>
      </c>
      <c r="T25" s="25">
        <v>449</v>
      </c>
      <c r="U25" s="25">
        <v>0</v>
      </c>
      <c r="V25" s="164" t="s">
        <v>11</v>
      </c>
      <c r="W25" s="162" t="s">
        <v>984</v>
      </c>
    </row>
    <row r="26" spans="1:23" x14ac:dyDescent="0.25">
      <c r="A26" s="190"/>
      <c r="B26" s="163"/>
      <c r="C26" s="163"/>
      <c r="D26" s="163"/>
      <c r="E26" s="163"/>
      <c r="F26" s="28" t="s">
        <v>102</v>
      </c>
      <c r="G26" s="25">
        <v>200</v>
      </c>
      <c r="H26" s="25">
        <v>189</v>
      </c>
      <c r="I26" s="25">
        <f t="shared" si="0"/>
        <v>389</v>
      </c>
      <c r="J26" s="34">
        <v>0</v>
      </c>
      <c r="K26" s="25">
        <v>0</v>
      </c>
      <c r="L26" s="25">
        <v>0</v>
      </c>
      <c r="M26" s="25">
        <v>0</v>
      </c>
      <c r="N26" s="25">
        <v>200</v>
      </c>
      <c r="O26" s="25">
        <v>0</v>
      </c>
      <c r="P26" s="25">
        <v>0</v>
      </c>
      <c r="Q26" s="25">
        <v>0</v>
      </c>
      <c r="R26" s="25">
        <v>0</v>
      </c>
      <c r="S26" s="25">
        <v>0</v>
      </c>
      <c r="T26" s="25">
        <v>189</v>
      </c>
      <c r="U26" s="25">
        <v>0</v>
      </c>
      <c r="V26" s="164"/>
      <c r="W26" s="162"/>
    </row>
    <row r="27" spans="1:23" x14ac:dyDescent="0.25">
      <c r="A27" s="190"/>
      <c r="B27" s="163"/>
      <c r="C27" s="163"/>
      <c r="D27" s="163"/>
      <c r="E27" s="163"/>
      <c r="F27" s="28" t="s">
        <v>130</v>
      </c>
      <c r="G27" s="25">
        <v>191</v>
      </c>
      <c r="H27" s="25">
        <v>45</v>
      </c>
      <c r="I27" s="25">
        <f t="shared" si="0"/>
        <v>236</v>
      </c>
      <c r="J27" s="34">
        <v>0</v>
      </c>
      <c r="K27" s="25">
        <v>191</v>
      </c>
      <c r="L27" s="25">
        <v>0</v>
      </c>
      <c r="M27" s="25">
        <v>0</v>
      </c>
      <c r="N27" s="25">
        <v>0</v>
      </c>
      <c r="O27" s="25">
        <v>0</v>
      </c>
      <c r="P27" s="25">
        <v>0</v>
      </c>
      <c r="Q27" s="25">
        <v>45</v>
      </c>
      <c r="R27" s="25">
        <v>0</v>
      </c>
      <c r="S27" s="25">
        <v>0</v>
      </c>
      <c r="T27" s="25">
        <v>0</v>
      </c>
      <c r="U27" s="25">
        <v>0</v>
      </c>
      <c r="V27" s="164"/>
      <c r="W27" s="162"/>
    </row>
    <row r="28" spans="1:23" x14ac:dyDescent="0.25">
      <c r="A28" s="190"/>
      <c r="B28" s="163"/>
      <c r="C28" s="163"/>
      <c r="D28" s="163"/>
      <c r="E28" s="163"/>
      <c r="F28" s="26" t="s">
        <v>702</v>
      </c>
      <c r="G28" s="27">
        <f>SUM(G25:G27)</f>
        <v>601</v>
      </c>
      <c r="H28" s="27">
        <f>SUM(H25:H27)</f>
        <v>683</v>
      </c>
      <c r="I28" s="194">
        <f t="shared" si="0"/>
        <v>1284</v>
      </c>
      <c r="J28" s="39">
        <v>0</v>
      </c>
      <c r="K28" s="27">
        <f t="shared" ref="K28:U28" si="4">SUM(K25:K27)</f>
        <v>191</v>
      </c>
      <c r="L28" s="27">
        <f t="shared" si="4"/>
        <v>0</v>
      </c>
      <c r="M28" s="27">
        <f t="shared" si="4"/>
        <v>0</v>
      </c>
      <c r="N28" s="27">
        <f t="shared" si="4"/>
        <v>410</v>
      </c>
      <c r="O28" s="27">
        <f t="shared" si="4"/>
        <v>0</v>
      </c>
      <c r="P28" s="27">
        <f t="shared" si="4"/>
        <v>0</v>
      </c>
      <c r="Q28" s="27">
        <f t="shared" si="4"/>
        <v>45</v>
      </c>
      <c r="R28" s="27">
        <f t="shared" si="4"/>
        <v>0</v>
      </c>
      <c r="S28" s="27">
        <f t="shared" si="4"/>
        <v>0</v>
      </c>
      <c r="T28" s="27">
        <f t="shared" si="4"/>
        <v>638</v>
      </c>
      <c r="U28" s="27">
        <f t="shared" si="4"/>
        <v>0</v>
      </c>
      <c r="V28" s="30"/>
      <c r="W28" s="26"/>
    </row>
    <row r="29" spans="1:23" x14ac:dyDescent="0.25">
      <c r="A29" s="190" t="s">
        <v>717</v>
      </c>
      <c r="B29" s="163">
        <v>2010</v>
      </c>
      <c r="C29" s="163" t="s">
        <v>718</v>
      </c>
      <c r="D29" s="163" t="s">
        <v>852</v>
      </c>
      <c r="E29" s="193" t="s">
        <v>919</v>
      </c>
      <c r="F29" s="28" t="s">
        <v>151</v>
      </c>
      <c r="G29" s="25">
        <v>93</v>
      </c>
      <c r="H29" s="25">
        <v>2429</v>
      </c>
      <c r="I29" s="25">
        <f t="shared" si="0"/>
        <v>2522</v>
      </c>
      <c r="J29" s="25">
        <v>93</v>
      </c>
      <c r="K29" s="25">
        <v>0</v>
      </c>
      <c r="L29" s="25">
        <v>0</v>
      </c>
      <c r="M29" s="25">
        <v>0</v>
      </c>
      <c r="N29" s="25">
        <v>0</v>
      </c>
      <c r="O29" s="25">
        <v>0</v>
      </c>
      <c r="P29" s="25">
        <v>2429</v>
      </c>
      <c r="Q29" s="25">
        <v>0</v>
      </c>
      <c r="R29" s="25">
        <v>0</v>
      </c>
      <c r="S29" s="25">
        <v>0</v>
      </c>
      <c r="T29" s="25">
        <v>0</v>
      </c>
      <c r="U29" s="25">
        <v>0</v>
      </c>
      <c r="V29" s="164" t="s">
        <v>11</v>
      </c>
      <c r="W29" s="43" t="s">
        <v>965</v>
      </c>
    </row>
    <row r="30" spans="1:23" x14ac:dyDescent="0.25">
      <c r="A30" s="190"/>
      <c r="B30" s="163"/>
      <c r="C30" s="163"/>
      <c r="D30" s="163"/>
      <c r="E30" s="163"/>
      <c r="F30" s="28" t="s">
        <v>152</v>
      </c>
      <c r="G30" s="25">
        <v>52</v>
      </c>
      <c r="H30" s="25">
        <v>2091</v>
      </c>
      <c r="I30" s="25">
        <f t="shared" si="0"/>
        <v>2143</v>
      </c>
      <c r="J30" s="25">
        <v>52</v>
      </c>
      <c r="K30" s="25">
        <v>0</v>
      </c>
      <c r="L30" s="25">
        <v>0</v>
      </c>
      <c r="M30" s="25">
        <v>0</v>
      </c>
      <c r="N30" s="25">
        <v>0</v>
      </c>
      <c r="O30" s="25">
        <v>0</v>
      </c>
      <c r="P30" s="25">
        <v>2091</v>
      </c>
      <c r="Q30" s="25">
        <v>0</v>
      </c>
      <c r="R30" s="25">
        <v>0</v>
      </c>
      <c r="S30" s="25">
        <v>0</v>
      </c>
      <c r="T30" s="25">
        <v>0</v>
      </c>
      <c r="U30" s="25">
        <v>0</v>
      </c>
      <c r="V30" s="164"/>
      <c r="W30" s="43" t="s">
        <v>981</v>
      </c>
    </row>
    <row r="31" spans="1:23" x14ac:dyDescent="0.25">
      <c r="A31" s="190"/>
      <c r="B31" s="163"/>
      <c r="C31" s="163"/>
      <c r="D31" s="163"/>
      <c r="E31" s="163"/>
      <c r="F31" s="28" t="s">
        <v>153</v>
      </c>
      <c r="G31" s="25">
        <v>171</v>
      </c>
      <c r="H31" s="25">
        <v>5700</v>
      </c>
      <c r="I31" s="25">
        <f t="shared" si="0"/>
        <v>5871</v>
      </c>
      <c r="J31" s="25">
        <v>171</v>
      </c>
      <c r="K31" s="25">
        <v>0</v>
      </c>
      <c r="L31" s="25">
        <v>0</v>
      </c>
      <c r="M31" s="25">
        <v>0</v>
      </c>
      <c r="N31" s="25">
        <v>0</v>
      </c>
      <c r="O31" s="25">
        <v>0</v>
      </c>
      <c r="P31" s="25">
        <v>5700</v>
      </c>
      <c r="Q31" s="25">
        <v>0</v>
      </c>
      <c r="R31" s="25">
        <v>0</v>
      </c>
      <c r="S31" s="25">
        <v>0</v>
      </c>
      <c r="T31" s="25">
        <v>0</v>
      </c>
      <c r="U31" s="25">
        <v>0</v>
      </c>
      <c r="V31" s="164"/>
      <c r="W31" s="43" t="s">
        <v>964</v>
      </c>
    </row>
    <row r="32" spans="1:23" x14ac:dyDescent="0.25">
      <c r="A32" s="190"/>
      <c r="B32" s="163"/>
      <c r="C32" s="163"/>
      <c r="D32" s="163"/>
      <c r="E32" s="163"/>
      <c r="F32" s="28" t="s">
        <v>30</v>
      </c>
      <c r="G32" s="25">
        <v>78</v>
      </c>
      <c r="H32" s="25">
        <v>2684</v>
      </c>
      <c r="I32" s="25">
        <f t="shared" si="0"/>
        <v>2762</v>
      </c>
      <c r="J32" s="25">
        <v>78</v>
      </c>
      <c r="K32" s="25">
        <v>0</v>
      </c>
      <c r="L32" s="25">
        <v>0</v>
      </c>
      <c r="M32" s="25">
        <v>0</v>
      </c>
      <c r="N32" s="25">
        <v>0</v>
      </c>
      <c r="O32" s="25">
        <v>0</v>
      </c>
      <c r="P32" s="25">
        <v>2684</v>
      </c>
      <c r="Q32" s="25">
        <v>0</v>
      </c>
      <c r="R32" s="25">
        <v>0</v>
      </c>
      <c r="S32" s="25">
        <v>0</v>
      </c>
      <c r="T32" s="25">
        <v>0</v>
      </c>
      <c r="U32" s="25">
        <v>0</v>
      </c>
      <c r="V32" s="164"/>
      <c r="W32" s="43" t="s">
        <v>965</v>
      </c>
    </row>
    <row r="33" spans="1:23" x14ac:dyDescent="0.25">
      <c r="A33" s="190"/>
      <c r="B33" s="163"/>
      <c r="C33" s="163"/>
      <c r="D33" s="163"/>
      <c r="E33" s="163"/>
      <c r="F33" s="28" t="s">
        <v>719</v>
      </c>
      <c r="G33" s="25">
        <v>829</v>
      </c>
      <c r="H33" s="25">
        <v>536</v>
      </c>
      <c r="I33" s="25">
        <f t="shared" si="0"/>
        <v>1365</v>
      </c>
      <c r="J33" s="25">
        <v>0</v>
      </c>
      <c r="K33" s="25">
        <v>829</v>
      </c>
      <c r="L33" s="25">
        <v>0</v>
      </c>
      <c r="M33" s="25">
        <v>0</v>
      </c>
      <c r="N33" s="25">
        <v>0</v>
      </c>
      <c r="O33" s="25">
        <v>0</v>
      </c>
      <c r="P33" s="25">
        <v>0</v>
      </c>
      <c r="Q33" s="25">
        <v>536</v>
      </c>
      <c r="R33" s="25">
        <v>0</v>
      </c>
      <c r="S33" s="25">
        <v>0</v>
      </c>
      <c r="T33" s="25">
        <v>0</v>
      </c>
      <c r="U33" s="25">
        <v>0</v>
      </c>
      <c r="V33" s="164"/>
      <c r="W33" s="43" t="s">
        <v>981</v>
      </c>
    </row>
    <row r="34" spans="1:23" x14ac:dyDescent="0.25">
      <c r="A34" s="190"/>
      <c r="B34" s="163"/>
      <c r="C34" s="163"/>
      <c r="D34" s="163"/>
      <c r="E34" s="163"/>
      <c r="F34" s="28" t="s">
        <v>710</v>
      </c>
      <c r="G34" s="25">
        <v>810</v>
      </c>
      <c r="H34" s="25">
        <v>1202</v>
      </c>
      <c r="I34" s="25">
        <f t="shared" si="0"/>
        <v>2012</v>
      </c>
      <c r="J34" s="25">
        <v>0</v>
      </c>
      <c r="K34" s="25">
        <v>0</v>
      </c>
      <c r="L34" s="25">
        <v>0</v>
      </c>
      <c r="M34" s="25">
        <v>0</v>
      </c>
      <c r="N34" s="25">
        <v>810</v>
      </c>
      <c r="O34" s="25">
        <v>0</v>
      </c>
      <c r="P34" s="25">
        <v>0</v>
      </c>
      <c r="Q34" s="25">
        <v>0</v>
      </c>
      <c r="R34" s="25">
        <v>0</v>
      </c>
      <c r="S34" s="25">
        <v>0</v>
      </c>
      <c r="T34" s="25">
        <v>1202</v>
      </c>
      <c r="U34" s="25">
        <v>0</v>
      </c>
      <c r="V34" s="164"/>
      <c r="W34" s="43" t="s">
        <v>969</v>
      </c>
    </row>
    <row r="35" spans="1:23" x14ac:dyDescent="0.25">
      <c r="A35" s="190"/>
      <c r="B35" s="163"/>
      <c r="C35" s="163"/>
      <c r="D35" s="163"/>
      <c r="E35" s="163"/>
      <c r="F35" s="26" t="s">
        <v>702</v>
      </c>
      <c r="G35" s="27">
        <f>SUM(G29:G34)</f>
        <v>2033</v>
      </c>
      <c r="H35" s="27">
        <f>SUM(H29:H34)</f>
        <v>14642</v>
      </c>
      <c r="I35" s="194">
        <f t="shared" si="0"/>
        <v>16675</v>
      </c>
      <c r="J35" s="27">
        <f>SUM(J29:J34)</f>
        <v>394</v>
      </c>
      <c r="K35" s="27">
        <f t="shared" ref="K35:U35" si="5">SUM(K29:K34)</f>
        <v>829</v>
      </c>
      <c r="L35" s="27">
        <f t="shared" si="5"/>
        <v>0</v>
      </c>
      <c r="M35" s="27">
        <f t="shared" si="5"/>
        <v>0</v>
      </c>
      <c r="N35" s="27">
        <f t="shared" si="5"/>
        <v>810</v>
      </c>
      <c r="O35" s="27">
        <f t="shared" si="5"/>
        <v>0</v>
      </c>
      <c r="P35" s="27">
        <f t="shared" si="5"/>
        <v>12904</v>
      </c>
      <c r="Q35" s="27">
        <f t="shared" si="5"/>
        <v>536</v>
      </c>
      <c r="R35" s="27">
        <f t="shared" si="5"/>
        <v>0</v>
      </c>
      <c r="S35" s="27">
        <f t="shared" si="5"/>
        <v>0</v>
      </c>
      <c r="T35" s="27">
        <f t="shared" si="5"/>
        <v>1202</v>
      </c>
      <c r="U35" s="27">
        <f t="shared" si="5"/>
        <v>0</v>
      </c>
      <c r="V35" s="30"/>
      <c r="W35" s="26"/>
    </row>
    <row r="36" spans="1:23" x14ac:dyDescent="0.25">
      <c r="A36" s="190" t="s">
        <v>720</v>
      </c>
      <c r="B36" s="163">
        <v>2010</v>
      </c>
      <c r="C36" s="163" t="s">
        <v>721</v>
      </c>
      <c r="D36" s="163" t="s">
        <v>851</v>
      </c>
      <c r="E36" s="193" t="s">
        <v>918</v>
      </c>
      <c r="F36" s="28" t="s">
        <v>722</v>
      </c>
      <c r="G36" s="25">
        <v>491</v>
      </c>
      <c r="H36" s="25">
        <v>0</v>
      </c>
      <c r="I36" s="25">
        <f t="shared" si="0"/>
        <v>491</v>
      </c>
      <c r="J36" s="25">
        <v>0</v>
      </c>
      <c r="K36" s="25">
        <v>0</v>
      </c>
      <c r="L36" s="25">
        <v>0</v>
      </c>
      <c r="M36" s="25">
        <v>0</v>
      </c>
      <c r="N36" s="25">
        <v>491</v>
      </c>
      <c r="O36" s="25">
        <v>0</v>
      </c>
      <c r="P36" s="25">
        <v>0</v>
      </c>
      <c r="Q36" s="25">
        <v>0</v>
      </c>
      <c r="R36" s="25">
        <v>0</v>
      </c>
      <c r="S36" s="25">
        <v>0</v>
      </c>
      <c r="T36" s="25">
        <v>0</v>
      </c>
      <c r="U36" s="25">
        <v>0</v>
      </c>
      <c r="V36" s="164" t="s">
        <v>11</v>
      </c>
      <c r="W36" s="162" t="s">
        <v>964</v>
      </c>
    </row>
    <row r="37" spans="1:23" x14ac:dyDescent="0.25">
      <c r="A37" s="190"/>
      <c r="B37" s="163"/>
      <c r="C37" s="163"/>
      <c r="D37" s="163"/>
      <c r="E37" s="163"/>
      <c r="F37" s="28" t="s">
        <v>723</v>
      </c>
      <c r="G37" s="25">
        <v>0</v>
      </c>
      <c r="H37" s="25">
        <v>479</v>
      </c>
      <c r="I37" s="25">
        <f t="shared" si="0"/>
        <v>479</v>
      </c>
      <c r="J37" s="25">
        <v>0</v>
      </c>
      <c r="K37" s="25">
        <v>0</v>
      </c>
      <c r="L37" s="25">
        <v>0</v>
      </c>
      <c r="M37" s="25">
        <v>0</v>
      </c>
      <c r="N37" s="25">
        <v>0</v>
      </c>
      <c r="O37" s="25">
        <v>0</v>
      </c>
      <c r="P37" s="25">
        <v>0</v>
      </c>
      <c r="Q37" s="25">
        <v>0</v>
      </c>
      <c r="R37" s="25">
        <v>0</v>
      </c>
      <c r="S37" s="25">
        <v>0</v>
      </c>
      <c r="T37" s="25">
        <v>479</v>
      </c>
      <c r="U37" s="25">
        <v>0</v>
      </c>
      <c r="V37" s="164"/>
      <c r="W37" s="162"/>
    </row>
    <row r="38" spans="1:23" x14ac:dyDescent="0.25">
      <c r="A38" s="190"/>
      <c r="B38" s="163"/>
      <c r="C38" s="163"/>
      <c r="D38" s="163"/>
      <c r="E38" s="163"/>
      <c r="F38" s="26" t="s">
        <v>702</v>
      </c>
      <c r="G38" s="27">
        <f>SUM(G36:G37)</f>
        <v>491</v>
      </c>
      <c r="H38" s="27">
        <f>SUM(H36:H37)</f>
        <v>479</v>
      </c>
      <c r="I38" s="194">
        <f t="shared" si="0"/>
        <v>970</v>
      </c>
      <c r="J38" s="27">
        <f t="shared" ref="J38:U38" si="6">SUM(J36:J37)</f>
        <v>0</v>
      </c>
      <c r="K38" s="27">
        <f t="shared" si="6"/>
        <v>0</v>
      </c>
      <c r="L38" s="27">
        <f t="shared" si="6"/>
        <v>0</v>
      </c>
      <c r="M38" s="27">
        <f t="shared" si="6"/>
        <v>0</v>
      </c>
      <c r="N38" s="27">
        <f t="shared" si="6"/>
        <v>491</v>
      </c>
      <c r="O38" s="27">
        <f t="shared" si="6"/>
        <v>0</v>
      </c>
      <c r="P38" s="27">
        <f t="shared" si="6"/>
        <v>0</v>
      </c>
      <c r="Q38" s="27">
        <f t="shared" si="6"/>
        <v>0</v>
      </c>
      <c r="R38" s="27">
        <f t="shared" si="6"/>
        <v>0</v>
      </c>
      <c r="S38" s="27">
        <f t="shared" si="6"/>
        <v>0</v>
      </c>
      <c r="T38" s="27">
        <f t="shared" si="6"/>
        <v>479</v>
      </c>
      <c r="U38" s="27">
        <f t="shared" si="6"/>
        <v>0</v>
      </c>
      <c r="V38" s="30"/>
      <c r="W38" s="26"/>
    </row>
    <row r="39" spans="1:23" x14ac:dyDescent="0.25">
      <c r="A39" s="190" t="s">
        <v>724</v>
      </c>
      <c r="B39" s="163">
        <v>2011</v>
      </c>
      <c r="C39" s="163" t="s">
        <v>725</v>
      </c>
      <c r="D39" s="163" t="s">
        <v>850</v>
      </c>
      <c r="E39" s="193" t="s">
        <v>917</v>
      </c>
      <c r="F39" s="28" t="s">
        <v>106</v>
      </c>
      <c r="G39" s="25">
        <v>267</v>
      </c>
      <c r="H39" s="25">
        <v>292</v>
      </c>
      <c r="I39" s="25">
        <f t="shared" si="0"/>
        <v>559</v>
      </c>
      <c r="J39" s="34">
        <v>0</v>
      </c>
      <c r="K39" s="34">
        <v>0</v>
      </c>
      <c r="L39" s="34">
        <v>0</v>
      </c>
      <c r="M39" s="34">
        <v>0</v>
      </c>
      <c r="N39" s="25">
        <v>267</v>
      </c>
      <c r="O39" s="34">
        <v>0</v>
      </c>
      <c r="P39" s="34">
        <v>0</v>
      </c>
      <c r="Q39" s="34">
        <v>0</v>
      </c>
      <c r="R39" s="34">
        <v>0</v>
      </c>
      <c r="S39" s="34">
        <v>0</v>
      </c>
      <c r="T39" s="34">
        <v>0</v>
      </c>
      <c r="U39" s="25">
        <v>292</v>
      </c>
      <c r="V39" s="164" t="s">
        <v>11</v>
      </c>
      <c r="W39" s="43" t="s">
        <v>967</v>
      </c>
    </row>
    <row r="40" spans="1:23" x14ac:dyDescent="0.25">
      <c r="A40" s="190"/>
      <c r="B40" s="163"/>
      <c r="C40" s="163"/>
      <c r="D40" s="163"/>
      <c r="E40" s="163"/>
      <c r="F40" s="28" t="s">
        <v>116</v>
      </c>
      <c r="G40" s="25">
        <v>246</v>
      </c>
      <c r="H40" s="25">
        <v>204</v>
      </c>
      <c r="I40" s="25">
        <f t="shared" si="0"/>
        <v>450</v>
      </c>
      <c r="J40" s="34">
        <v>0</v>
      </c>
      <c r="K40" s="34">
        <v>0</v>
      </c>
      <c r="L40" s="34">
        <v>0</v>
      </c>
      <c r="M40" s="34">
        <v>0</v>
      </c>
      <c r="N40" s="25">
        <v>246</v>
      </c>
      <c r="O40" s="34">
        <v>0</v>
      </c>
      <c r="P40" s="34">
        <v>0</v>
      </c>
      <c r="Q40" s="34">
        <v>0</v>
      </c>
      <c r="R40" s="34">
        <v>0</v>
      </c>
      <c r="S40" s="34">
        <v>0</v>
      </c>
      <c r="T40" s="25">
        <v>204</v>
      </c>
      <c r="U40" s="34">
        <v>0</v>
      </c>
      <c r="V40" s="164"/>
      <c r="W40" s="43" t="s">
        <v>985</v>
      </c>
    </row>
    <row r="41" spans="1:23" x14ac:dyDescent="0.25">
      <c r="A41" s="190"/>
      <c r="B41" s="163"/>
      <c r="C41" s="163"/>
      <c r="D41" s="163"/>
      <c r="E41" s="163"/>
      <c r="F41" s="26" t="s">
        <v>702</v>
      </c>
      <c r="G41" s="27">
        <f>SUM(G39:G40)</f>
        <v>513</v>
      </c>
      <c r="H41" s="27">
        <f>SUM(H39:H40)</f>
        <v>496</v>
      </c>
      <c r="I41" s="194">
        <f t="shared" si="0"/>
        <v>1009</v>
      </c>
      <c r="J41" s="27">
        <f t="shared" ref="J41:U41" si="7">SUM(J39:J40)</f>
        <v>0</v>
      </c>
      <c r="K41" s="27">
        <f t="shared" si="7"/>
        <v>0</v>
      </c>
      <c r="L41" s="27">
        <f t="shared" si="7"/>
        <v>0</v>
      </c>
      <c r="M41" s="27">
        <f t="shared" si="7"/>
        <v>0</v>
      </c>
      <c r="N41" s="27">
        <f t="shared" si="7"/>
        <v>513</v>
      </c>
      <c r="O41" s="27">
        <f t="shared" si="7"/>
        <v>0</v>
      </c>
      <c r="P41" s="27">
        <f t="shared" si="7"/>
        <v>0</v>
      </c>
      <c r="Q41" s="27">
        <f t="shared" si="7"/>
        <v>0</v>
      </c>
      <c r="R41" s="27">
        <f t="shared" si="7"/>
        <v>0</v>
      </c>
      <c r="S41" s="27">
        <f t="shared" si="7"/>
        <v>0</v>
      </c>
      <c r="T41" s="27">
        <f t="shared" si="7"/>
        <v>204</v>
      </c>
      <c r="U41" s="27">
        <f t="shared" si="7"/>
        <v>292</v>
      </c>
      <c r="V41" s="30"/>
      <c r="W41" s="26"/>
    </row>
    <row r="42" spans="1:23" x14ac:dyDescent="0.25">
      <c r="A42" s="191" t="s">
        <v>726</v>
      </c>
      <c r="B42" s="164">
        <v>2011</v>
      </c>
      <c r="C42" s="163" t="s">
        <v>727</v>
      </c>
      <c r="D42" s="163" t="s">
        <v>849</v>
      </c>
      <c r="E42" s="193" t="s">
        <v>916</v>
      </c>
      <c r="F42" s="28" t="s">
        <v>26</v>
      </c>
      <c r="G42" s="25">
        <f>1516+337+471</f>
        <v>2324</v>
      </c>
      <c r="H42" s="25">
        <f>794+144+141</f>
        <v>1079</v>
      </c>
      <c r="I42" s="25">
        <f t="shared" si="0"/>
        <v>3403</v>
      </c>
      <c r="J42" s="34">
        <v>0</v>
      </c>
      <c r="K42" s="34">
        <v>0</v>
      </c>
      <c r="L42" s="34">
        <v>0</v>
      </c>
      <c r="M42" s="34">
        <v>0</v>
      </c>
      <c r="N42" s="25">
        <f>1516+337+471</f>
        <v>2324</v>
      </c>
      <c r="O42" s="34">
        <v>0</v>
      </c>
      <c r="P42" s="34">
        <v>0</v>
      </c>
      <c r="Q42" s="34">
        <v>0</v>
      </c>
      <c r="R42" s="34">
        <v>0</v>
      </c>
      <c r="S42" s="34">
        <v>0</v>
      </c>
      <c r="T42" s="25">
        <f>794+144+141</f>
        <v>1079</v>
      </c>
      <c r="U42" s="34">
        <v>0</v>
      </c>
      <c r="V42" s="45" t="s">
        <v>11</v>
      </c>
      <c r="W42" s="43" t="s">
        <v>963</v>
      </c>
    </row>
    <row r="43" spans="1:23" x14ac:dyDescent="0.25">
      <c r="A43" s="191"/>
      <c r="B43" s="164"/>
      <c r="C43" s="163"/>
      <c r="D43" s="163"/>
      <c r="E43" s="163"/>
      <c r="F43" s="26" t="s">
        <v>702</v>
      </c>
      <c r="G43" s="27">
        <f>SUM(G42)</f>
        <v>2324</v>
      </c>
      <c r="H43" s="27">
        <f>SUM(H42)</f>
        <v>1079</v>
      </c>
      <c r="I43" s="194">
        <f t="shared" si="0"/>
        <v>3403</v>
      </c>
      <c r="J43" s="27">
        <f t="shared" ref="J43:U43" si="8">SUM(J42)</f>
        <v>0</v>
      </c>
      <c r="K43" s="27">
        <f t="shared" si="8"/>
        <v>0</v>
      </c>
      <c r="L43" s="27">
        <f t="shared" si="8"/>
        <v>0</v>
      </c>
      <c r="M43" s="27">
        <f t="shared" si="8"/>
        <v>0</v>
      </c>
      <c r="N43" s="27">
        <f t="shared" si="8"/>
        <v>2324</v>
      </c>
      <c r="O43" s="27">
        <f t="shared" si="8"/>
        <v>0</v>
      </c>
      <c r="P43" s="27">
        <f t="shared" si="8"/>
        <v>0</v>
      </c>
      <c r="Q43" s="27">
        <f t="shared" si="8"/>
        <v>0</v>
      </c>
      <c r="R43" s="27">
        <f t="shared" si="8"/>
        <v>0</v>
      </c>
      <c r="S43" s="27">
        <f t="shared" si="8"/>
        <v>0</v>
      </c>
      <c r="T43" s="27">
        <f t="shared" si="8"/>
        <v>1079</v>
      </c>
      <c r="U43" s="27">
        <f t="shared" si="8"/>
        <v>0</v>
      </c>
      <c r="V43" s="30"/>
      <c r="W43" s="26"/>
    </row>
    <row r="44" spans="1:23" x14ac:dyDescent="0.25">
      <c r="A44" s="190" t="s">
        <v>728</v>
      </c>
      <c r="B44" s="163">
        <v>2011</v>
      </c>
      <c r="C44" s="163" t="s">
        <v>729</v>
      </c>
      <c r="D44" s="163" t="s">
        <v>848</v>
      </c>
      <c r="E44" s="193" t="s">
        <v>915</v>
      </c>
      <c r="F44" s="28" t="s">
        <v>707</v>
      </c>
      <c r="G44" s="25">
        <v>3941</v>
      </c>
      <c r="H44" s="25">
        <v>7848</v>
      </c>
      <c r="I44" s="25">
        <f t="shared" si="0"/>
        <v>11789</v>
      </c>
      <c r="J44" s="34">
        <v>0</v>
      </c>
      <c r="K44" s="34">
        <v>0</v>
      </c>
      <c r="L44" s="34">
        <v>0</v>
      </c>
      <c r="M44" s="34">
        <v>0</v>
      </c>
      <c r="N44" s="25">
        <v>3941</v>
      </c>
      <c r="O44" s="34">
        <v>0</v>
      </c>
      <c r="P44" s="34">
        <v>0</v>
      </c>
      <c r="Q44" s="34">
        <v>0</v>
      </c>
      <c r="R44" s="34">
        <v>0</v>
      </c>
      <c r="S44" s="34">
        <v>0</v>
      </c>
      <c r="T44" s="25">
        <v>7848</v>
      </c>
      <c r="U44" s="34">
        <v>0</v>
      </c>
      <c r="V44" s="164" t="s">
        <v>11</v>
      </c>
      <c r="W44" s="43" t="s">
        <v>970</v>
      </c>
    </row>
    <row r="45" spans="1:23" x14ac:dyDescent="0.25">
      <c r="A45" s="190"/>
      <c r="B45" s="163"/>
      <c r="C45" s="163"/>
      <c r="D45" s="163"/>
      <c r="E45" s="163"/>
      <c r="F45" s="28" t="s">
        <v>61</v>
      </c>
      <c r="G45" s="25">
        <v>2025</v>
      </c>
      <c r="H45" s="25">
        <v>5328</v>
      </c>
      <c r="I45" s="25">
        <f t="shared" si="0"/>
        <v>7353</v>
      </c>
      <c r="J45" s="34">
        <v>0</v>
      </c>
      <c r="K45" s="34">
        <v>0</v>
      </c>
      <c r="L45" s="34">
        <v>0</v>
      </c>
      <c r="M45" s="34">
        <v>0</v>
      </c>
      <c r="N45" s="25">
        <v>2025</v>
      </c>
      <c r="O45" s="34">
        <v>0</v>
      </c>
      <c r="P45" s="34">
        <v>0</v>
      </c>
      <c r="Q45" s="34">
        <v>0</v>
      </c>
      <c r="R45" s="34">
        <v>0</v>
      </c>
      <c r="S45" s="34">
        <v>0</v>
      </c>
      <c r="T45" s="25">
        <v>5328</v>
      </c>
      <c r="U45" s="34">
        <v>0</v>
      </c>
      <c r="V45" s="164"/>
      <c r="W45" s="43" t="s">
        <v>963</v>
      </c>
    </row>
    <row r="46" spans="1:23" x14ac:dyDescent="0.25">
      <c r="A46" s="190"/>
      <c r="B46" s="163"/>
      <c r="C46" s="163"/>
      <c r="D46" s="163"/>
      <c r="E46" s="163"/>
      <c r="F46" s="28" t="s">
        <v>156</v>
      </c>
      <c r="G46" s="25">
        <v>151</v>
      </c>
      <c r="H46" s="25">
        <v>177</v>
      </c>
      <c r="I46" s="25">
        <f t="shared" si="0"/>
        <v>328</v>
      </c>
      <c r="J46" s="25">
        <v>151</v>
      </c>
      <c r="K46" s="34">
        <v>0</v>
      </c>
      <c r="L46" s="34">
        <v>0</v>
      </c>
      <c r="M46" s="34">
        <v>0</v>
      </c>
      <c r="N46" s="34">
        <v>0</v>
      </c>
      <c r="O46" s="34">
        <v>0</v>
      </c>
      <c r="P46" s="25">
        <v>177</v>
      </c>
      <c r="Q46" s="34">
        <v>0</v>
      </c>
      <c r="R46" s="34">
        <v>0</v>
      </c>
      <c r="S46" s="34">
        <v>0</v>
      </c>
      <c r="T46" s="34">
        <v>0</v>
      </c>
      <c r="U46" s="34">
        <v>0</v>
      </c>
      <c r="V46" s="164"/>
      <c r="W46" s="43" t="s">
        <v>963</v>
      </c>
    </row>
    <row r="47" spans="1:23" x14ac:dyDescent="0.25">
      <c r="A47" s="190"/>
      <c r="B47" s="163"/>
      <c r="C47" s="163"/>
      <c r="D47" s="163"/>
      <c r="E47" s="163"/>
      <c r="F47" s="28" t="s">
        <v>719</v>
      </c>
      <c r="G47" s="25">
        <v>571</v>
      </c>
      <c r="H47" s="25">
        <v>332</v>
      </c>
      <c r="I47" s="25">
        <f t="shared" si="0"/>
        <v>903</v>
      </c>
      <c r="J47" s="34">
        <v>0</v>
      </c>
      <c r="K47" s="25">
        <v>571</v>
      </c>
      <c r="L47" s="34">
        <v>0</v>
      </c>
      <c r="M47" s="34">
        <v>0</v>
      </c>
      <c r="N47" s="34">
        <v>0</v>
      </c>
      <c r="O47" s="34">
        <v>0</v>
      </c>
      <c r="P47" s="34">
        <v>0</v>
      </c>
      <c r="Q47" s="25">
        <v>332</v>
      </c>
      <c r="R47" s="34">
        <v>0</v>
      </c>
      <c r="S47" s="34">
        <v>0</v>
      </c>
      <c r="T47" s="34">
        <v>0</v>
      </c>
      <c r="U47" s="34">
        <v>0</v>
      </c>
      <c r="V47" s="164"/>
      <c r="W47" s="43" t="s">
        <v>981</v>
      </c>
    </row>
    <row r="48" spans="1:23" x14ac:dyDescent="0.25">
      <c r="A48" s="190"/>
      <c r="B48" s="163"/>
      <c r="C48" s="163"/>
      <c r="D48" s="163"/>
      <c r="E48" s="163"/>
      <c r="F48" s="26" t="s">
        <v>702</v>
      </c>
      <c r="G48" s="27">
        <f>SUM(G44:G47)</f>
        <v>6688</v>
      </c>
      <c r="H48" s="27">
        <f>SUM(H44:H47)</f>
        <v>13685</v>
      </c>
      <c r="I48" s="194">
        <f t="shared" si="0"/>
        <v>20373</v>
      </c>
      <c r="J48" s="27">
        <f t="shared" ref="J48:U48" si="9">SUM(J44:J47)</f>
        <v>151</v>
      </c>
      <c r="K48" s="27">
        <f t="shared" si="9"/>
        <v>571</v>
      </c>
      <c r="L48" s="27">
        <f t="shared" si="9"/>
        <v>0</v>
      </c>
      <c r="M48" s="27">
        <f t="shared" si="9"/>
        <v>0</v>
      </c>
      <c r="N48" s="27">
        <f t="shared" si="9"/>
        <v>5966</v>
      </c>
      <c r="O48" s="27">
        <f t="shared" si="9"/>
        <v>0</v>
      </c>
      <c r="P48" s="27">
        <f t="shared" si="9"/>
        <v>177</v>
      </c>
      <c r="Q48" s="27">
        <f t="shared" si="9"/>
        <v>332</v>
      </c>
      <c r="R48" s="27">
        <f t="shared" si="9"/>
        <v>0</v>
      </c>
      <c r="S48" s="27">
        <f t="shared" si="9"/>
        <v>0</v>
      </c>
      <c r="T48" s="27">
        <f t="shared" si="9"/>
        <v>13176</v>
      </c>
      <c r="U48" s="27">
        <f t="shared" si="9"/>
        <v>0</v>
      </c>
      <c r="V48" s="30"/>
      <c r="W48" s="26"/>
    </row>
    <row r="49" spans="1:23" x14ac:dyDescent="0.25">
      <c r="A49" s="191" t="s">
        <v>730</v>
      </c>
      <c r="B49" s="164">
        <v>2012</v>
      </c>
      <c r="C49" s="163" t="s">
        <v>731</v>
      </c>
      <c r="D49" s="163" t="s">
        <v>847</v>
      </c>
      <c r="E49" s="193" t="s">
        <v>914</v>
      </c>
      <c r="F49" s="28" t="s">
        <v>108</v>
      </c>
      <c r="G49" s="25">
        <v>1440</v>
      </c>
      <c r="H49" s="25">
        <v>1000</v>
      </c>
      <c r="I49" s="25">
        <f t="shared" si="0"/>
        <v>2440</v>
      </c>
      <c r="J49" s="25">
        <v>0</v>
      </c>
      <c r="K49" s="25">
        <v>338</v>
      </c>
      <c r="L49" s="25">
        <v>0</v>
      </c>
      <c r="M49" s="25">
        <v>0</v>
      </c>
      <c r="N49" s="25">
        <v>1102</v>
      </c>
      <c r="O49" s="25">
        <v>0</v>
      </c>
      <c r="P49" s="25">
        <v>0</v>
      </c>
      <c r="Q49" s="25">
        <v>2</v>
      </c>
      <c r="R49" s="25">
        <v>0</v>
      </c>
      <c r="S49" s="25">
        <v>0</v>
      </c>
      <c r="T49" s="25">
        <v>998</v>
      </c>
      <c r="U49" s="25">
        <v>0</v>
      </c>
      <c r="V49" s="45" t="s">
        <v>11</v>
      </c>
      <c r="W49" s="43" t="s">
        <v>986</v>
      </c>
    </row>
    <row r="50" spans="1:23" x14ac:dyDescent="0.25">
      <c r="A50" s="191"/>
      <c r="B50" s="164"/>
      <c r="C50" s="163"/>
      <c r="D50" s="163"/>
      <c r="E50" s="163"/>
      <c r="F50" s="26" t="s">
        <v>702</v>
      </c>
      <c r="G50" s="27">
        <f>SUM(G49)</f>
        <v>1440</v>
      </c>
      <c r="H50" s="27">
        <f>SUM(H49)</f>
        <v>1000</v>
      </c>
      <c r="I50" s="194">
        <f t="shared" si="0"/>
        <v>2440</v>
      </c>
      <c r="J50" s="27">
        <f t="shared" ref="J50:U50" si="10">SUM(J49)</f>
        <v>0</v>
      </c>
      <c r="K50" s="27">
        <f t="shared" si="10"/>
        <v>338</v>
      </c>
      <c r="L50" s="27">
        <f t="shared" si="10"/>
        <v>0</v>
      </c>
      <c r="M50" s="27">
        <f t="shared" si="10"/>
        <v>0</v>
      </c>
      <c r="N50" s="27">
        <f t="shared" si="10"/>
        <v>1102</v>
      </c>
      <c r="O50" s="27">
        <f t="shared" si="10"/>
        <v>0</v>
      </c>
      <c r="P50" s="27">
        <f t="shared" si="10"/>
        <v>0</v>
      </c>
      <c r="Q50" s="27">
        <f t="shared" si="10"/>
        <v>2</v>
      </c>
      <c r="R50" s="27">
        <f t="shared" si="10"/>
        <v>0</v>
      </c>
      <c r="S50" s="27">
        <f t="shared" si="10"/>
        <v>0</v>
      </c>
      <c r="T50" s="27">
        <f t="shared" si="10"/>
        <v>998</v>
      </c>
      <c r="U50" s="27">
        <f t="shared" si="10"/>
        <v>0</v>
      </c>
      <c r="V50" s="30"/>
      <c r="W50" s="26"/>
    </row>
    <row r="51" spans="1:23" x14ac:dyDescent="0.25">
      <c r="A51" s="190" t="s">
        <v>732</v>
      </c>
      <c r="B51" s="163">
        <v>2012</v>
      </c>
      <c r="C51" s="163" t="s">
        <v>733</v>
      </c>
      <c r="D51" s="163" t="s">
        <v>846</v>
      </c>
      <c r="E51" s="193" t="s">
        <v>913</v>
      </c>
      <c r="F51" s="28" t="s">
        <v>134</v>
      </c>
      <c r="G51" s="25">
        <v>311</v>
      </c>
      <c r="H51" s="25">
        <v>543</v>
      </c>
      <c r="I51" s="25">
        <f t="shared" si="0"/>
        <v>854</v>
      </c>
      <c r="J51" s="34">
        <v>0</v>
      </c>
      <c r="K51" s="34">
        <v>0</v>
      </c>
      <c r="L51" s="34">
        <v>0</v>
      </c>
      <c r="M51" s="25">
        <v>311</v>
      </c>
      <c r="N51" s="34">
        <v>0</v>
      </c>
      <c r="O51" s="34">
        <v>0</v>
      </c>
      <c r="P51" s="34">
        <v>0</v>
      </c>
      <c r="Q51" s="34">
        <v>0</v>
      </c>
      <c r="R51" s="34">
        <v>0</v>
      </c>
      <c r="S51" s="25">
        <v>543</v>
      </c>
      <c r="T51" s="34">
        <v>0</v>
      </c>
      <c r="U51" s="34">
        <v>0</v>
      </c>
      <c r="V51" s="164" t="s">
        <v>11</v>
      </c>
      <c r="W51" s="162" t="s">
        <v>987</v>
      </c>
    </row>
    <row r="52" spans="1:23" x14ac:dyDescent="0.25">
      <c r="A52" s="190"/>
      <c r="B52" s="163"/>
      <c r="C52" s="163"/>
      <c r="D52" s="163"/>
      <c r="E52" s="163"/>
      <c r="F52" s="28" t="s">
        <v>114</v>
      </c>
      <c r="G52" s="25">
        <v>238</v>
      </c>
      <c r="H52" s="25">
        <v>1</v>
      </c>
      <c r="I52" s="25">
        <f t="shared" si="0"/>
        <v>239</v>
      </c>
      <c r="J52" s="34">
        <v>0</v>
      </c>
      <c r="K52" s="34">
        <v>0</v>
      </c>
      <c r="L52" s="34">
        <v>0</v>
      </c>
      <c r="M52" s="34">
        <v>0</v>
      </c>
      <c r="N52" s="25">
        <v>238</v>
      </c>
      <c r="O52" s="34">
        <v>0</v>
      </c>
      <c r="P52" s="34">
        <v>0</v>
      </c>
      <c r="Q52" s="34">
        <v>0</v>
      </c>
      <c r="R52" s="34">
        <v>0</v>
      </c>
      <c r="S52" s="34">
        <v>0</v>
      </c>
      <c r="T52" s="25">
        <v>1</v>
      </c>
      <c r="U52" s="34">
        <v>0</v>
      </c>
      <c r="V52" s="164"/>
      <c r="W52" s="162"/>
    </row>
    <row r="53" spans="1:23" x14ac:dyDescent="0.25">
      <c r="A53" s="190"/>
      <c r="B53" s="163"/>
      <c r="C53" s="163"/>
      <c r="D53" s="163"/>
      <c r="E53" s="163"/>
      <c r="F53" s="26" t="s">
        <v>702</v>
      </c>
      <c r="G53" s="27">
        <f>SUM(G51:G52)</f>
        <v>549</v>
      </c>
      <c r="H53" s="27">
        <f>SUM(H51:H52)</f>
        <v>544</v>
      </c>
      <c r="I53" s="194">
        <f t="shared" si="0"/>
        <v>1093</v>
      </c>
      <c r="J53" s="27">
        <f t="shared" ref="J53:U53" si="11">SUM(J51:J52)</f>
        <v>0</v>
      </c>
      <c r="K53" s="27">
        <f t="shared" si="11"/>
        <v>0</v>
      </c>
      <c r="L53" s="27">
        <f t="shared" si="11"/>
        <v>0</v>
      </c>
      <c r="M53" s="27">
        <f t="shared" si="11"/>
        <v>311</v>
      </c>
      <c r="N53" s="27">
        <f t="shared" si="11"/>
        <v>238</v>
      </c>
      <c r="O53" s="27">
        <f t="shared" si="11"/>
        <v>0</v>
      </c>
      <c r="P53" s="27">
        <f t="shared" si="11"/>
        <v>0</v>
      </c>
      <c r="Q53" s="27">
        <f t="shared" si="11"/>
        <v>0</v>
      </c>
      <c r="R53" s="27">
        <f t="shared" si="11"/>
        <v>0</v>
      </c>
      <c r="S53" s="27">
        <f t="shared" si="11"/>
        <v>543</v>
      </c>
      <c r="T53" s="27">
        <f t="shared" si="11"/>
        <v>1</v>
      </c>
      <c r="U53" s="27">
        <f t="shared" si="11"/>
        <v>0</v>
      </c>
      <c r="V53" s="30"/>
      <c r="W53" s="26"/>
    </row>
    <row r="54" spans="1:23" x14ac:dyDescent="0.25">
      <c r="A54" s="190" t="s">
        <v>711</v>
      </c>
      <c r="B54" s="163">
        <v>2013</v>
      </c>
      <c r="C54" s="163" t="s">
        <v>734</v>
      </c>
      <c r="D54" s="163" t="s">
        <v>845</v>
      </c>
      <c r="E54" s="193" t="s">
        <v>943</v>
      </c>
      <c r="F54" s="28" t="s">
        <v>735</v>
      </c>
      <c r="G54" s="25">
        <f>1411+737+364</f>
        <v>2512</v>
      </c>
      <c r="H54" s="25">
        <f>515+160+570</f>
        <v>1245</v>
      </c>
      <c r="I54" s="25">
        <f t="shared" si="0"/>
        <v>3757</v>
      </c>
      <c r="J54" s="25">
        <v>0</v>
      </c>
      <c r="K54" s="25">
        <v>0</v>
      </c>
      <c r="L54" s="25">
        <v>0</v>
      </c>
      <c r="M54" s="25">
        <v>0</v>
      </c>
      <c r="N54" s="25">
        <f>1411+737+364</f>
        <v>2512</v>
      </c>
      <c r="O54" s="25">
        <v>0</v>
      </c>
      <c r="P54" s="25">
        <v>0</v>
      </c>
      <c r="Q54" s="25">
        <v>0</v>
      </c>
      <c r="R54" s="25">
        <v>0</v>
      </c>
      <c r="S54" s="25">
        <v>0</v>
      </c>
      <c r="T54" s="25">
        <f>515+160+570</f>
        <v>1245</v>
      </c>
      <c r="U54" s="25">
        <v>0</v>
      </c>
      <c r="V54" s="164" t="s">
        <v>11</v>
      </c>
      <c r="W54" s="43" t="s">
        <v>20</v>
      </c>
    </row>
    <row r="55" spans="1:23" x14ac:dyDescent="0.25">
      <c r="A55" s="190"/>
      <c r="B55" s="163"/>
      <c r="C55" s="163"/>
      <c r="D55" s="163"/>
      <c r="E55" s="163"/>
      <c r="F55" s="28" t="s">
        <v>145</v>
      </c>
      <c r="G55" s="25">
        <v>566</v>
      </c>
      <c r="H55" s="25">
        <v>1696</v>
      </c>
      <c r="I55" s="25">
        <f t="shared" si="0"/>
        <v>2262</v>
      </c>
      <c r="J55" s="25">
        <v>0</v>
      </c>
      <c r="K55" s="25">
        <v>0</v>
      </c>
      <c r="L55" s="25">
        <v>0</v>
      </c>
      <c r="M55" s="25">
        <v>0</v>
      </c>
      <c r="N55" s="25">
        <v>566</v>
      </c>
      <c r="O55" s="25">
        <v>0</v>
      </c>
      <c r="P55" s="25">
        <v>0</v>
      </c>
      <c r="Q55" s="25">
        <v>0</v>
      </c>
      <c r="R55" s="25">
        <v>0</v>
      </c>
      <c r="S55" s="25">
        <v>0</v>
      </c>
      <c r="T55" s="25">
        <v>1696</v>
      </c>
      <c r="U55" s="25">
        <v>0</v>
      </c>
      <c r="V55" s="164"/>
      <c r="W55" s="43" t="s">
        <v>20</v>
      </c>
    </row>
    <row r="56" spans="1:23" x14ac:dyDescent="0.25">
      <c r="A56" s="190"/>
      <c r="B56" s="163"/>
      <c r="C56" s="163"/>
      <c r="D56" s="163"/>
      <c r="E56" s="163"/>
      <c r="F56" s="29" t="s">
        <v>156</v>
      </c>
      <c r="G56" s="25">
        <v>268</v>
      </c>
      <c r="H56" s="25">
        <v>173</v>
      </c>
      <c r="I56" s="25">
        <f t="shared" si="0"/>
        <v>441</v>
      </c>
      <c r="J56" s="25">
        <v>268</v>
      </c>
      <c r="K56" s="25">
        <v>0</v>
      </c>
      <c r="L56" s="25">
        <v>0</v>
      </c>
      <c r="M56" s="25">
        <v>0</v>
      </c>
      <c r="N56" s="25">
        <v>0</v>
      </c>
      <c r="O56" s="25">
        <v>0</v>
      </c>
      <c r="P56" s="25">
        <v>173</v>
      </c>
      <c r="Q56" s="25">
        <v>0</v>
      </c>
      <c r="R56" s="25">
        <v>0</v>
      </c>
      <c r="S56" s="25">
        <v>0</v>
      </c>
      <c r="T56" s="25">
        <v>0</v>
      </c>
      <c r="U56" s="25">
        <v>0</v>
      </c>
      <c r="V56" s="164"/>
      <c r="W56" s="43" t="s">
        <v>20</v>
      </c>
    </row>
    <row r="57" spans="1:23" x14ac:dyDescent="0.25">
      <c r="A57" s="190"/>
      <c r="B57" s="163"/>
      <c r="C57" s="163"/>
      <c r="D57" s="163"/>
      <c r="E57" s="163"/>
      <c r="F57" s="28" t="s">
        <v>9</v>
      </c>
      <c r="G57" s="25">
        <v>669</v>
      </c>
      <c r="H57" s="25">
        <v>713</v>
      </c>
      <c r="I57" s="25">
        <f t="shared" si="0"/>
        <v>1382</v>
      </c>
      <c r="J57" s="25">
        <v>0</v>
      </c>
      <c r="K57" s="25">
        <v>0</v>
      </c>
      <c r="L57" s="25">
        <v>0</v>
      </c>
      <c r="M57" s="25">
        <v>0</v>
      </c>
      <c r="N57" s="25">
        <v>669</v>
      </c>
      <c r="O57" s="25">
        <v>0</v>
      </c>
      <c r="P57" s="25">
        <v>0</v>
      </c>
      <c r="Q57" s="25">
        <v>0</v>
      </c>
      <c r="R57" s="25">
        <v>0</v>
      </c>
      <c r="S57" s="25">
        <v>0</v>
      </c>
      <c r="T57" s="25">
        <v>713</v>
      </c>
      <c r="U57" s="25">
        <v>0</v>
      </c>
      <c r="V57" s="164"/>
      <c r="W57" s="43" t="s">
        <v>20</v>
      </c>
    </row>
    <row r="58" spans="1:23" x14ac:dyDescent="0.25">
      <c r="A58" s="190"/>
      <c r="B58" s="163"/>
      <c r="C58" s="163"/>
      <c r="D58" s="163"/>
      <c r="E58" s="163"/>
      <c r="F58" s="29" t="s">
        <v>26</v>
      </c>
      <c r="G58" s="25">
        <v>1811</v>
      </c>
      <c r="H58" s="25">
        <v>1572</v>
      </c>
      <c r="I58" s="25">
        <f t="shared" si="0"/>
        <v>3383</v>
      </c>
      <c r="J58" s="25">
        <v>0</v>
      </c>
      <c r="K58" s="25">
        <v>0</v>
      </c>
      <c r="L58" s="25">
        <v>0</v>
      </c>
      <c r="M58" s="25">
        <v>0</v>
      </c>
      <c r="N58" s="25">
        <v>1811</v>
      </c>
      <c r="O58" s="25">
        <v>0</v>
      </c>
      <c r="P58" s="25">
        <v>0</v>
      </c>
      <c r="Q58" s="25">
        <v>0</v>
      </c>
      <c r="R58" s="25">
        <v>0</v>
      </c>
      <c r="S58" s="25">
        <v>0</v>
      </c>
      <c r="T58" s="25">
        <v>1572</v>
      </c>
      <c r="U58" s="25">
        <v>0</v>
      </c>
      <c r="V58" s="164"/>
      <c r="W58" s="43" t="s">
        <v>20</v>
      </c>
    </row>
    <row r="59" spans="1:23" x14ac:dyDescent="0.25">
      <c r="A59" s="190"/>
      <c r="B59" s="163"/>
      <c r="C59" s="163"/>
      <c r="D59" s="163"/>
      <c r="E59" s="163"/>
      <c r="F59" s="29" t="s">
        <v>107</v>
      </c>
      <c r="G59" s="25">
        <v>728</v>
      </c>
      <c r="H59" s="25">
        <v>1173</v>
      </c>
      <c r="I59" s="25">
        <f t="shared" si="0"/>
        <v>1901</v>
      </c>
      <c r="J59" s="25">
        <v>0</v>
      </c>
      <c r="K59" s="25">
        <v>0</v>
      </c>
      <c r="L59" s="25">
        <v>0</v>
      </c>
      <c r="M59" s="25">
        <v>0</v>
      </c>
      <c r="N59" s="25">
        <v>728</v>
      </c>
      <c r="O59" s="25">
        <v>0</v>
      </c>
      <c r="P59" s="25">
        <v>0</v>
      </c>
      <c r="Q59" s="25">
        <v>0</v>
      </c>
      <c r="R59" s="25">
        <v>0</v>
      </c>
      <c r="S59" s="25">
        <v>0</v>
      </c>
      <c r="T59" s="25">
        <v>1173</v>
      </c>
      <c r="U59" s="25">
        <v>0</v>
      </c>
      <c r="V59" s="164"/>
      <c r="W59" s="43" t="s">
        <v>20</v>
      </c>
    </row>
    <row r="60" spans="1:23" x14ac:dyDescent="0.25">
      <c r="A60" s="190"/>
      <c r="B60" s="163"/>
      <c r="C60" s="163"/>
      <c r="D60" s="163"/>
      <c r="E60" s="163"/>
      <c r="F60" s="29" t="s">
        <v>106</v>
      </c>
      <c r="G60" s="25">
        <v>509</v>
      </c>
      <c r="H60" s="25">
        <v>742</v>
      </c>
      <c r="I60" s="25">
        <f t="shared" si="0"/>
        <v>1251</v>
      </c>
      <c r="J60" s="25">
        <v>0</v>
      </c>
      <c r="K60" s="25">
        <v>0</v>
      </c>
      <c r="L60" s="25">
        <v>0</v>
      </c>
      <c r="M60" s="25">
        <v>0</v>
      </c>
      <c r="N60" s="25">
        <v>509</v>
      </c>
      <c r="O60" s="25">
        <v>0</v>
      </c>
      <c r="P60" s="25">
        <v>0</v>
      </c>
      <c r="Q60" s="25">
        <v>0</v>
      </c>
      <c r="R60" s="25">
        <v>0</v>
      </c>
      <c r="S60" s="25">
        <v>0</v>
      </c>
      <c r="T60" s="25">
        <v>0</v>
      </c>
      <c r="U60" s="25">
        <v>742</v>
      </c>
      <c r="V60" s="164"/>
      <c r="W60" s="43" t="s">
        <v>20</v>
      </c>
    </row>
    <row r="61" spans="1:23" x14ac:dyDescent="0.25">
      <c r="A61" s="190"/>
      <c r="B61" s="163"/>
      <c r="C61" s="163"/>
      <c r="D61" s="163"/>
      <c r="E61" s="163"/>
      <c r="F61" s="29" t="s">
        <v>17</v>
      </c>
      <c r="G61" s="25">
        <v>131</v>
      </c>
      <c r="H61" s="25">
        <v>153</v>
      </c>
      <c r="I61" s="25">
        <f t="shared" si="0"/>
        <v>284</v>
      </c>
      <c r="J61" s="25">
        <v>0</v>
      </c>
      <c r="K61" s="25">
        <v>0</v>
      </c>
      <c r="L61" s="25">
        <v>0</v>
      </c>
      <c r="M61" s="25">
        <v>0</v>
      </c>
      <c r="N61" s="25">
        <v>131</v>
      </c>
      <c r="O61" s="25">
        <v>0</v>
      </c>
      <c r="P61" s="25">
        <v>0</v>
      </c>
      <c r="Q61" s="25">
        <v>0</v>
      </c>
      <c r="R61" s="25">
        <v>0</v>
      </c>
      <c r="S61" s="25">
        <v>0</v>
      </c>
      <c r="T61" s="25">
        <v>153</v>
      </c>
      <c r="U61" s="25">
        <v>0</v>
      </c>
      <c r="V61" s="164"/>
      <c r="W61" s="43" t="s">
        <v>20</v>
      </c>
    </row>
    <row r="62" spans="1:23" x14ac:dyDescent="0.25">
      <c r="A62" s="190"/>
      <c r="B62" s="163"/>
      <c r="C62" s="163"/>
      <c r="D62" s="163"/>
      <c r="E62" s="163"/>
      <c r="F62" s="29" t="s">
        <v>133</v>
      </c>
      <c r="G62" s="25">
        <v>291</v>
      </c>
      <c r="H62" s="25">
        <v>776</v>
      </c>
      <c r="I62" s="25">
        <f t="shared" si="0"/>
        <v>1067</v>
      </c>
      <c r="J62" s="25">
        <v>0</v>
      </c>
      <c r="K62" s="25">
        <v>0</v>
      </c>
      <c r="L62" s="25">
        <v>0</v>
      </c>
      <c r="M62" s="25">
        <v>0</v>
      </c>
      <c r="N62" s="25">
        <v>291</v>
      </c>
      <c r="O62" s="25">
        <v>0</v>
      </c>
      <c r="P62" s="25">
        <v>0</v>
      </c>
      <c r="Q62" s="25">
        <v>0</v>
      </c>
      <c r="R62" s="25">
        <v>0</v>
      </c>
      <c r="S62" s="25">
        <v>0</v>
      </c>
      <c r="T62" s="25">
        <v>776</v>
      </c>
      <c r="U62" s="25">
        <v>0</v>
      </c>
      <c r="V62" s="164"/>
      <c r="W62" s="43" t="s">
        <v>20</v>
      </c>
    </row>
    <row r="63" spans="1:23" x14ac:dyDescent="0.25">
      <c r="A63" s="190"/>
      <c r="B63" s="163"/>
      <c r="C63" s="163"/>
      <c r="D63" s="163"/>
      <c r="E63" s="163"/>
      <c r="F63" s="29" t="s">
        <v>21</v>
      </c>
      <c r="G63" s="25">
        <v>129</v>
      </c>
      <c r="H63" s="25">
        <v>493</v>
      </c>
      <c r="I63" s="25">
        <f t="shared" si="0"/>
        <v>622</v>
      </c>
      <c r="J63" s="25">
        <v>0</v>
      </c>
      <c r="K63" s="25">
        <v>129</v>
      </c>
      <c r="L63" s="25">
        <v>0</v>
      </c>
      <c r="M63" s="25">
        <v>0</v>
      </c>
      <c r="N63" s="25">
        <v>0</v>
      </c>
      <c r="O63" s="25">
        <v>0</v>
      </c>
      <c r="P63" s="25">
        <v>0</v>
      </c>
      <c r="Q63" s="25">
        <v>493</v>
      </c>
      <c r="R63" s="25">
        <v>0</v>
      </c>
      <c r="S63" s="25">
        <v>0</v>
      </c>
      <c r="T63" s="25">
        <v>0</v>
      </c>
      <c r="U63" s="25">
        <v>0</v>
      </c>
      <c r="V63" s="164"/>
      <c r="W63" s="43" t="s">
        <v>20</v>
      </c>
    </row>
    <row r="64" spans="1:23" x14ac:dyDescent="0.25">
      <c r="A64" s="190"/>
      <c r="B64" s="163"/>
      <c r="C64" s="163"/>
      <c r="D64" s="163"/>
      <c r="E64" s="163"/>
      <c r="F64" s="29" t="s">
        <v>23</v>
      </c>
      <c r="G64" s="25">
        <v>1070</v>
      </c>
      <c r="H64" s="25">
        <v>1128</v>
      </c>
      <c r="I64" s="25">
        <f t="shared" si="0"/>
        <v>2198</v>
      </c>
      <c r="J64" s="25">
        <v>0</v>
      </c>
      <c r="K64" s="25">
        <v>409</v>
      </c>
      <c r="L64" s="25">
        <v>0</v>
      </c>
      <c r="M64" s="25">
        <v>0</v>
      </c>
      <c r="N64" s="25">
        <v>661</v>
      </c>
      <c r="O64" s="25">
        <v>0</v>
      </c>
      <c r="P64" s="25">
        <v>0</v>
      </c>
      <c r="Q64" s="25">
        <v>136</v>
      </c>
      <c r="R64" s="25">
        <v>0</v>
      </c>
      <c r="S64" s="25">
        <v>992</v>
      </c>
      <c r="T64" s="25">
        <v>0</v>
      </c>
      <c r="U64" s="25">
        <v>0</v>
      </c>
      <c r="V64" s="164"/>
      <c r="W64" s="43" t="s">
        <v>20</v>
      </c>
    </row>
    <row r="65" spans="1:23" x14ac:dyDescent="0.25">
      <c r="A65" s="190"/>
      <c r="B65" s="163"/>
      <c r="C65" s="163"/>
      <c r="D65" s="163"/>
      <c r="E65" s="163"/>
      <c r="F65" s="29" t="s">
        <v>28</v>
      </c>
      <c r="G65" s="25">
        <v>1271</v>
      </c>
      <c r="H65" s="25">
        <v>841</v>
      </c>
      <c r="I65" s="25">
        <f t="shared" si="0"/>
        <v>2112</v>
      </c>
      <c r="J65" s="25">
        <v>0</v>
      </c>
      <c r="K65" s="25">
        <v>277</v>
      </c>
      <c r="L65" s="25">
        <v>0</v>
      </c>
      <c r="M65" s="25">
        <v>0</v>
      </c>
      <c r="N65" s="25">
        <v>994</v>
      </c>
      <c r="O65" s="25">
        <v>0</v>
      </c>
      <c r="P65" s="25">
        <v>0</v>
      </c>
      <c r="Q65" s="25">
        <v>2</v>
      </c>
      <c r="R65" s="25">
        <v>0</v>
      </c>
      <c r="S65" s="25">
        <v>839</v>
      </c>
      <c r="T65" s="25">
        <v>0</v>
      </c>
      <c r="U65" s="25">
        <v>0</v>
      </c>
      <c r="V65" s="164"/>
      <c r="W65" s="43" t="s">
        <v>20</v>
      </c>
    </row>
    <row r="66" spans="1:23" x14ac:dyDescent="0.25">
      <c r="A66" s="190"/>
      <c r="B66" s="163"/>
      <c r="C66" s="163"/>
      <c r="D66" s="163"/>
      <c r="E66" s="163"/>
      <c r="F66" s="29" t="s">
        <v>700</v>
      </c>
      <c r="G66" s="25">
        <v>318</v>
      </c>
      <c r="H66" s="25">
        <v>187</v>
      </c>
      <c r="I66" s="25">
        <f t="shared" si="0"/>
        <v>505</v>
      </c>
      <c r="J66" s="25">
        <v>0</v>
      </c>
      <c r="K66" s="25">
        <v>0</v>
      </c>
      <c r="L66" s="25">
        <v>0</v>
      </c>
      <c r="M66" s="25">
        <v>0</v>
      </c>
      <c r="N66" s="25">
        <v>318</v>
      </c>
      <c r="O66" s="25">
        <v>0</v>
      </c>
      <c r="P66" s="25">
        <v>0</v>
      </c>
      <c r="Q66" s="25">
        <v>0</v>
      </c>
      <c r="R66" s="25">
        <v>0</v>
      </c>
      <c r="S66" s="25">
        <v>187</v>
      </c>
      <c r="T66" s="25">
        <v>0</v>
      </c>
      <c r="U66" s="25">
        <v>0</v>
      </c>
      <c r="V66" s="164"/>
      <c r="W66" s="43" t="s">
        <v>20</v>
      </c>
    </row>
    <row r="67" spans="1:23" x14ac:dyDescent="0.25">
      <c r="A67" s="190"/>
      <c r="B67" s="163"/>
      <c r="C67" s="163"/>
      <c r="D67" s="163"/>
      <c r="E67" s="163"/>
      <c r="F67" s="29" t="s">
        <v>30</v>
      </c>
      <c r="G67" s="25">
        <v>78</v>
      </c>
      <c r="H67" s="25">
        <v>2694</v>
      </c>
      <c r="I67" s="25">
        <f t="shared" si="0"/>
        <v>2772</v>
      </c>
      <c r="J67" s="25">
        <v>78</v>
      </c>
      <c r="K67" s="25">
        <v>0</v>
      </c>
      <c r="L67" s="25">
        <v>0</v>
      </c>
      <c r="M67" s="25">
        <v>0</v>
      </c>
      <c r="N67" s="25">
        <v>0</v>
      </c>
      <c r="O67" s="25">
        <v>0</v>
      </c>
      <c r="P67" s="25">
        <v>2694</v>
      </c>
      <c r="Q67" s="25">
        <v>0</v>
      </c>
      <c r="R67" s="25">
        <v>0</v>
      </c>
      <c r="S67" s="25">
        <v>0</v>
      </c>
      <c r="T67" s="25">
        <v>0</v>
      </c>
      <c r="U67" s="25">
        <v>0</v>
      </c>
      <c r="V67" s="164"/>
      <c r="W67" s="43" t="s">
        <v>965</v>
      </c>
    </row>
    <row r="68" spans="1:23" x14ac:dyDescent="0.25">
      <c r="A68" s="190"/>
      <c r="B68" s="163"/>
      <c r="C68" s="163"/>
      <c r="D68" s="163"/>
      <c r="E68" s="163"/>
      <c r="F68" s="29" t="s">
        <v>151</v>
      </c>
      <c r="G68" s="25">
        <f>353+68</f>
        <v>421</v>
      </c>
      <c r="H68" s="25">
        <f>1732+102</f>
        <v>1834</v>
      </c>
      <c r="I68" s="25">
        <f t="shared" si="0"/>
        <v>2255</v>
      </c>
      <c r="J68" s="25">
        <f>353+68</f>
        <v>421</v>
      </c>
      <c r="K68" s="25">
        <v>0</v>
      </c>
      <c r="L68" s="25">
        <v>0</v>
      </c>
      <c r="M68" s="25">
        <v>0</v>
      </c>
      <c r="N68" s="25">
        <v>0</v>
      </c>
      <c r="O68" s="25">
        <v>0</v>
      </c>
      <c r="P68" s="25">
        <f>1732+102</f>
        <v>1834</v>
      </c>
      <c r="Q68" s="25">
        <v>0</v>
      </c>
      <c r="R68" s="25">
        <v>0</v>
      </c>
      <c r="S68" s="25">
        <v>0</v>
      </c>
      <c r="T68" s="25">
        <v>0</v>
      </c>
      <c r="U68" s="25">
        <v>0</v>
      </c>
      <c r="V68" s="164"/>
      <c r="W68" s="43" t="s">
        <v>965</v>
      </c>
    </row>
    <row r="69" spans="1:23" x14ac:dyDescent="0.25">
      <c r="A69" s="190"/>
      <c r="B69" s="163"/>
      <c r="C69" s="163"/>
      <c r="D69" s="163"/>
      <c r="E69" s="163"/>
      <c r="F69" s="29" t="s">
        <v>152</v>
      </c>
      <c r="G69" s="25">
        <f>177+66</f>
        <v>243</v>
      </c>
      <c r="H69" s="25">
        <f>2966+3334</f>
        <v>6300</v>
      </c>
      <c r="I69" s="25">
        <f t="shared" si="0"/>
        <v>6543</v>
      </c>
      <c r="J69" s="25">
        <f>177+66</f>
        <v>243</v>
      </c>
      <c r="K69" s="25">
        <v>0</v>
      </c>
      <c r="L69" s="25">
        <v>0</v>
      </c>
      <c r="M69" s="25">
        <v>0</v>
      </c>
      <c r="N69" s="25">
        <v>0</v>
      </c>
      <c r="O69" s="25">
        <v>0</v>
      </c>
      <c r="P69" s="25">
        <f>2966+3334</f>
        <v>6300</v>
      </c>
      <c r="Q69" s="25">
        <v>0</v>
      </c>
      <c r="R69" s="25">
        <v>0</v>
      </c>
      <c r="S69" s="25">
        <v>0</v>
      </c>
      <c r="T69" s="25">
        <v>0</v>
      </c>
      <c r="U69" s="25">
        <v>0</v>
      </c>
      <c r="V69" s="164"/>
      <c r="W69" s="43" t="s">
        <v>981</v>
      </c>
    </row>
    <row r="70" spans="1:23" x14ac:dyDescent="0.25">
      <c r="A70" s="190"/>
      <c r="B70" s="163"/>
      <c r="C70" s="163"/>
      <c r="D70" s="163"/>
      <c r="E70" s="163"/>
      <c r="F70" s="29" t="s">
        <v>153</v>
      </c>
      <c r="G70" s="25">
        <f>462+171</f>
        <v>633</v>
      </c>
      <c r="H70" s="25">
        <f>5238+5700</f>
        <v>10938</v>
      </c>
      <c r="I70" s="25">
        <f t="shared" si="0"/>
        <v>11571</v>
      </c>
      <c r="J70" s="25">
        <f>462+171</f>
        <v>633</v>
      </c>
      <c r="K70" s="25">
        <v>0</v>
      </c>
      <c r="L70" s="25">
        <v>0</v>
      </c>
      <c r="M70" s="25">
        <v>0</v>
      </c>
      <c r="N70" s="25">
        <v>0</v>
      </c>
      <c r="O70" s="25">
        <v>0</v>
      </c>
      <c r="P70" s="25">
        <f>5238+5700</f>
        <v>10938</v>
      </c>
      <c r="Q70" s="25">
        <v>0</v>
      </c>
      <c r="R70" s="25">
        <v>0</v>
      </c>
      <c r="S70" s="25">
        <v>0</v>
      </c>
      <c r="T70" s="25">
        <v>0</v>
      </c>
      <c r="U70" s="25">
        <v>0</v>
      </c>
      <c r="V70" s="164"/>
      <c r="W70" s="43" t="s">
        <v>964</v>
      </c>
    </row>
    <row r="71" spans="1:23" x14ac:dyDescent="0.25">
      <c r="A71" s="190"/>
      <c r="B71" s="163"/>
      <c r="C71" s="163"/>
      <c r="D71" s="163"/>
      <c r="E71" s="163"/>
      <c r="F71" s="29" t="s">
        <v>61</v>
      </c>
      <c r="G71" s="25">
        <v>2243</v>
      </c>
      <c r="H71" s="25">
        <v>6017</v>
      </c>
      <c r="I71" s="25">
        <f t="shared" ref="I71:I134" si="12">SUM(G71:H71)</f>
        <v>8260</v>
      </c>
      <c r="J71" s="25">
        <v>0</v>
      </c>
      <c r="K71" s="25">
        <v>0</v>
      </c>
      <c r="L71" s="25">
        <v>0</v>
      </c>
      <c r="M71" s="25">
        <v>0</v>
      </c>
      <c r="N71" s="25">
        <v>2243</v>
      </c>
      <c r="O71" s="25">
        <v>0</v>
      </c>
      <c r="P71" s="25">
        <v>0</v>
      </c>
      <c r="Q71" s="25">
        <v>0</v>
      </c>
      <c r="R71" s="25">
        <v>0</v>
      </c>
      <c r="S71" s="25">
        <v>0</v>
      </c>
      <c r="T71" s="25">
        <v>6017</v>
      </c>
      <c r="U71" s="25">
        <v>0</v>
      </c>
      <c r="V71" s="164"/>
      <c r="W71" s="43" t="s">
        <v>963</v>
      </c>
    </row>
    <row r="72" spans="1:23" x14ac:dyDescent="0.25">
      <c r="A72" s="190"/>
      <c r="B72" s="163"/>
      <c r="C72" s="163"/>
      <c r="D72" s="163"/>
      <c r="E72" s="163"/>
      <c r="F72" s="29" t="s">
        <v>736</v>
      </c>
      <c r="G72" s="25">
        <v>3177</v>
      </c>
      <c r="H72" s="25">
        <v>7277</v>
      </c>
      <c r="I72" s="25">
        <f t="shared" si="12"/>
        <v>10454</v>
      </c>
      <c r="J72" s="25">
        <v>0</v>
      </c>
      <c r="K72" s="25">
        <v>0</v>
      </c>
      <c r="L72" s="25">
        <v>0</v>
      </c>
      <c r="M72" s="25">
        <v>0</v>
      </c>
      <c r="N72" s="25">
        <v>3177</v>
      </c>
      <c r="O72" s="25">
        <v>0</v>
      </c>
      <c r="P72" s="25">
        <v>0</v>
      </c>
      <c r="Q72" s="25">
        <v>0</v>
      </c>
      <c r="R72" s="25">
        <v>0</v>
      </c>
      <c r="S72" s="25">
        <v>0</v>
      </c>
      <c r="T72" s="25">
        <v>7277</v>
      </c>
      <c r="U72" s="25">
        <v>0</v>
      </c>
      <c r="V72" s="164"/>
      <c r="W72" s="43" t="s">
        <v>20</v>
      </c>
    </row>
    <row r="73" spans="1:23" x14ac:dyDescent="0.25">
      <c r="A73" s="190"/>
      <c r="B73" s="163"/>
      <c r="C73" s="163"/>
      <c r="D73" s="163"/>
      <c r="E73" s="163"/>
      <c r="F73" s="26" t="s">
        <v>702</v>
      </c>
      <c r="G73" s="27">
        <f>SUM(G54:G72)</f>
        <v>17068</v>
      </c>
      <c r="H73" s="27">
        <f>SUM(H54:H72)</f>
        <v>45952</v>
      </c>
      <c r="I73" s="194">
        <f t="shared" si="12"/>
        <v>63020</v>
      </c>
      <c r="J73" s="27">
        <f t="shared" ref="J73:U73" si="13">SUM(J54:J72)</f>
        <v>1643</v>
      </c>
      <c r="K73" s="27">
        <f t="shared" si="13"/>
        <v>815</v>
      </c>
      <c r="L73" s="27">
        <f t="shared" si="13"/>
        <v>0</v>
      </c>
      <c r="M73" s="27">
        <f t="shared" si="13"/>
        <v>0</v>
      </c>
      <c r="N73" s="27">
        <f>SUM(J73:K73)</f>
        <v>2458</v>
      </c>
      <c r="O73" s="27">
        <f t="shared" si="13"/>
        <v>0</v>
      </c>
      <c r="P73" s="27">
        <f t="shared" si="13"/>
        <v>21939</v>
      </c>
      <c r="Q73" s="27">
        <f t="shared" si="13"/>
        <v>631</v>
      </c>
      <c r="R73" s="27">
        <f t="shared" si="13"/>
        <v>0</v>
      </c>
      <c r="S73" s="27">
        <f t="shared" si="13"/>
        <v>2018</v>
      </c>
      <c r="T73" s="27">
        <f t="shared" si="13"/>
        <v>20622</v>
      </c>
      <c r="U73" s="27">
        <f t="shared" si="13"/>
        <v>742</v>
      </c>
      <c r="V73" s="30"/>
      <c r="W73" s="26"/>
    </row>
    <row r="74" spans="1:23" x14ac:dyDescent="0.25">
      <c r="A74" s="165" t="s">
        <v>737</v>
      </c>
      <c r="B74" s="163">
        <v>2013</v>
      </c>
      <c r="C74" s="163" t="s">
        <v>738</v>
      </c>
      <c r="D74" s="163" t="s">
        <v>844</v>
      </c>
      <c r="E74" s="193" t="s">
        <v>934</v>
      </c>
      <c r="F74" s="28" t="s">
        <v>156</v>
      </c>
      <c r="G74" s="25">
        <v>303</v>
      </c>
      <c r="H74" s="25">
        <v>243</v>
      </c>
      <c r="I74" s="25">
        <f t="shared" si="12"/>
        <v>546</v>
      </c>
      <c r="J74" s="25">
        <v>303</v>
      </c>
      <c r="K74" s="34">
        <v>0</v>
      </c>
      <c r="L74" s="34">
        <v>0</v>
      </c>
      <c r="M74" s="34">
        <v>0</v>
      </c>
      <c r="N74" s="34">
        <v>0</v>
      </c>
      <c r="O74" s="34">
        <v>0</v>
      </c>
      <c r="P74" s="25">
        <v>243</v>
      </c>
      <c r="Q74" s="34">
        <v>0</v>
      </c>
      <c r="R74" s="34">
        <v>0</v>
      </c>
      <c r="S74" s="34">
        <v>0</v>
      </c>
      <c r="T74" s="34">
        <v>0</v>
      </c>
      <c r="U74" s="34">
        <v>0</v>
      </c>
      <c r="V74" s="45" t="s">
        <v>11</v>
      </c>
      <c r="W74" s="43" t="s">
        <v>963</v>
      </c>
    </row>
    <row r="75" spans="1:23" x14ac:dyDescent="0.25">
      <c r="A75" s="167"/>
      <c r="B75" s="163"/>
      <c r="C75" s="163"/>
      <c r="D75" s="163"/>
      <c r="E75" s="163"/>
      <c r="F75" s="26" t="s">
        <v>702</v>
      </c>
      <c r="G75" s="27">
        <f>SUM(G74)</f>
        <v>303</v>
      </c>
      <c r="H75" s="27">
        <f>SUM(H74)</f>
        <v>243</v>
      </c>
      <c r="I75" s="194">
        <f t="shared" si="12"/>
        <v>546</v>
      </c>
      <c r="J75" s="27">
        <f t="shared" ref="J75:U75" si="14">SUM(J74)</f>
        <v>303</v>
      </c>
      <c r="K75" s="27">
        <f t="shared" si="14"/>
        <v>0</v>
      </c>
      <c r="L75" s="27">
        <f t="shared" si="14"/>
        <v>0</v>
      </c>
      <c r="M75" s="27">
        <f t="shared" si="14"/>
        <v>0</v>
      </c>
      <c r="N75" s="27">
        <f t="shared" si="14"/>
        <v>0</v>
      </c>
      <c r="O75" s="27">
        <f t="shared" si="14"/>
        <v>0</v>
      </c>
      <c r="P75" s="27">
        <f t="shared" si="14"/>
        <v>243</v>
      </c>
      <c r="Q75" s="27">
        <f t="shared" si="14"/>
        <v>0</v>
      </c>
      <c r="R75" s="27">
        <f t="shared" si="14"/>
        <v>0</v>
      </c>
      <c r="S75" s="27">
        <f t="shared" si="14"/>
        <v>0</v>
      </c>
      <c r="T75" s="27">
        <f t="shared" si="14"/>
        <v>0</v>
      </c>
      <c r="U75" s="27">
        <f t="shared" si="14"/>
        <v>0</v>
      </c>
      <c r="V75" s="30"/>
      <c r="W75" s="26"/>
    </row>
    <row r="76" spans="1:23" x14ac:dyDescent="0.25">
      <c r="A76" s="192" t="s">
        <v>711</v>
      </c>
      <c r="B76" s="163">
        <v>2013</v>
      </c>
      <c r="C76" s="163" t="s">
        <v>739</v>
      </c>
      <c r="D76" s="163" t="s">
        <v>843</v>
      </c>
      <c r="E76" s="193" t="s">
        <v>935</v>
      </c>
      <c r="F76" s="196" t="s">
        <v>61</v>
      </c>
      <c r="G76" s="29">
        <v>2025</v>
      </c>
      <c r="H76" s="29">
        <v>5328</v>
      </c>
      <c r="I76" s="25">
        <f t="shared" si="12"/>
        <v>7353</v>
      </c>
      <c r="J76" s="34">
        <v>0</v>
      </c>
      <c r="K76" s="34">
        <v>0</v>
      </c>
      <c r="L76" s="34">
        <v>0</v>
      </c>
      <c r="M76" s="34">
        <v>0</v>
      </c>
      <c r="N76" s="29">
        <v>2025</v>
      </c>
      <c r="O76" s="34">
        <v>0</v>
      </c>
      <c r="P76" s="34">
        <v>0</v>
      </c>
      <c r="Q76" s="34">
        <v>0</v>
      </c>
      <c r="R76" s="34">
        <v>0</v>
      </c>
      <c r="S76" s="34">
        <v>0</v>
      </c>
      <c r="T76" s="29">
        <v>5328</v>
      </c>
      <c r="U76" s="34">
        <v>0</v>
      </c>
      <c r="V76" s="45" t="s">
        <v>11</v>
      </c>
      <c r="W76" s="43" t="s">
        <v>963</v>
      </c>
    </row>
    <row r="77" spans="1:23" x14ac:dyDescent="0.25">
      <c r="A77" s="192"/>
      <c r="B77" s="163"/>
      <c r="C77" s="163"/>
      <c r="D77" s="163"/>
      <c r="E77" s="163"/>
      <c r="F77" s="26" t="s">
        <v>702</v>
      </c>
      <c r="G77" s="27">
        <f>SUM(G76)</f>
        <v>2025</v>
      </c>
      <c r="H77" s="27">
        <f>SUM(H76)</f>
        <v>5328</v>
      </c>
      <c r="I77" s="194">
        <f t="shared" si="12"/>
        <v>7353</v>
      </c>
      <c r="J77" s="27">
        <f t="shared" ref="J77:U77" si="15">SUM(J76)</f>
        <v>0</v>
      </c>
      <c r="K77" s="27">
        <f t="shared" si="15"/>
        <v>0</v>
      </c>
      <c r="L77" s="27">
        <f t="shared" si="15"/>
        <v>0</v>
      </c>
      <c r="M77" s="27">
        <f t="shared" si="15"/>
        <v>0</v>
      </c>
      <c r="N77" s="27">
        <f t="shared" si="15"/>
        <v>2025</v>
      </c>
      <c r="O77" s="27">
        <f t="shared" si="15"/>
        <v>0</v>
      </c>
      <c r="P77" s="27">
        <f t="shared" si="15"/>
        <v>0</v>
      </c>
      <c r="Q77" s="27">
        <f t="shared" si="15"/>
        <v>0</v>
      </c>
      <c r="R77" s="27">
        <f t="shared" si="15"/>
        <v>0</v>
      </c>
      <c r="S77" s="27">
        <f t="shared" si="15"/>
        <v>0</v>
      </c>
      <c r="T77" s="27">
        <f t="shared" si="15"/>
        <v>5328</v>
      </c>
      <c r="U77" s="27">
        <f t="shared" si="15"/>
        <v>0</v>
      </c>
      <c r="V77" s="30"/>
      <c r="W77" s="26"/>
    </row>
    <row r="78" spans="1:23" x14ac:dyDescent="0.25">
      <c r="A78" s="191" t="s">
        <v>740</v>
      </c>
      <c r="B78" s="164">
        <v>2013</v>
      </c>
      <c r="C78" s="163" t="s">
        <v>741</v>
      </c>
      <c r="D78" s="163" t="s">
        <v>842</v>
      </c>
      <c r="E78" s="193" t="s">
        <v>936</v>
      </c>
      <c r="F78" s="28" t="s">
        <v>742</v>
      </c>
      <c r="G78" s="25">
        <f>1062+2692</f>
        <v>3754</v>
      </c>
      <c r="H78" s="25">
        <f>1236+110050</f>
        <v>111286</v>
      </c>
      <c r="I78" s="25">
        <f t="shared" si="12"/>
        <v>115040</v>
      </c>
      <c r="J78" s="34">
        <v>0</v>
      </c>
      <c r="K78" s="34">
        <v>0</v>
      </c>
      <c r="L78" s="34">
        <v>0</v>
      </c>
      <c r="M78" s="34">
        <v>0</v>
      </c>
      <c r="N78" s="25">
        <f>1062+2692</f>
        <v>3754</v>
      </c>
      <c r="O78" s="34">
        <v>0</v>
      </c>
      <c r="P78" s="34">
        <v>0</v>
      </c>
      <c r="Q78" s="34">
        <v>0</v>
      </c>
      <c r="R78" s="34">
        <v>0</v>
      </c>
      <c r="S78" s="34">
        <v>0</v>
      </c>
      <c r="T78" s="25">
        <f>1236+110050</f>
        <v>111286</v>
      </c>
      <c r="U78" s="34">
        <v>0</v>
      </c>
      <c r="V78" s="45" t="s">
        <v>912</v>
      </c>
      <c r="W78" s="43" t="s">
        <v>988</v>
      </c>
    </row>
    <row r="79" spans="1:23" x14ac:dyDescent="0.25">
      <c r="A79" s="191"/>
      <c r="B79" s="164"/>
      <c r="C79" s="163"/>
      <c r="D79" s="163"/>
      <c r="E79" s="163"/>
      <c r="F79" s="26" t="s">
        <v>702</v>
      </c>
      <c r="G79" s="27">
        <f>SUM(G78)</f>
        <v>3754</v>
      </c>
      <c r="H79" s="27">
        <f>SUM(H78)</f>
        <v>111286</v>
      </c>
      <c r="I79" s="194">
        <f t="shared" si="12"/>
        <v>115040</v>
      </c>
      <c r="J79" s="27">
        <f t="shared" ref="J79:U79" si="16">SUM(J78)</f>
        <v>0</v>
      </c>
      <c r="K79" s="27">
        <f t="shared" si="16"/>
        <v>0</v>
      </c>
      <c r="L79" s="27">
        <f t="shared" si="16"/>
        <v>0</v>
      </c>
      <c r="M79" s="27">
        <f t="shared" si="16"/>
        <v>0</v>
      </c>
      <c r="N79" s="27">
        <f t="shared" si="16"/>
        <v>3754</v>
      </c>
      <c r="O79" s="27">
        <f t="shared" si="16"/>
        <v>0</v>
      </c>
      <c r="P79" s="27">
        <f t="shared" si="16"/>
        <v>0</v>
      </c>
      <c r="Q79" s="27">
        <f t="shared" si="16"/>
        <v>0</v>
      </c>
      <c r="R79" s="27">
        <f t="shared" si="16"/>
        <v>0</v>
      </c>
      <c r="S79" s="27">
        <f t="shared" si="16"/>
        <v>0</v>
      </c>
      <c r="T79" s="27">
        <f t="shared" si="16"/>
        <v>111286</v>
      </c>
      <c r="U79" s="27">
        <f t="shared" si="16"/>
        <v>0</v>
      </c>
      <c r="V79" s="30"/>
      <c r="W79" s="26"/>
    </row>
    <row r="80" spans="1:23" x14ac:dyDescent="0.25">
      <c r="A80" s="191" t="s">
        <v>743</v>
      </c>
      <c r="B80" s="164">
        <v>2014</v>
      </c>
      <c r="C80" s="163" t="s">
        <v>744</v>
      </c>
      <c r="D80" s="163" t="s">
        <v>841</v>
      </c>
      <c r="E80" s="193" t="s">
        <v>944</v>
      </c>
      <c r="F80" s="28" t="s">
        <v>152</v>
      </c>
      <c r="G80" s="25">
        <v>61</v>
      </c>
      <c r="H80" s="25">
        <v>2530</v>
      </c>
      <c r="I80" s="25">
        <f t="shared" si="12"/>
        <v>2591</v>
      </c>
      <c r="J80" s="25">
        <v>61</v>
      </c>
      <c r="K80" s="34">
        <v>0</v>
      </c>
      <c r="L80" s="34">
        <v>0</v>
      </c>
      <c r="M80" s="34">
        <v>0</v>
      </c>
      <c r="N80" s="34">
        <v>0</v>
      </c>
      <c r="O80" s="34">
        <v>0</v>
      </c>
      <c r="P80" s="25">
        <v>2530</v>
      </c>
      <c r="Q80" s="34">
        <v>0</v>
      </c>
      <c r="R80" s="34">
        <v>0</v>
      </c>
      <c r="S80" s="34">
        <v>0</v>
      </c>
      <c r="T80" s="34">
        <v>0</v>
      </c>
      <c r="U80" s="34">
        <v>0</v>
      </c>
      <c r="V80" s="45" t="s">
        <v>11</v>
      </c>
      <c r="W80" s="43" t="s">
        <v>981</v>
      </c>
    </row>
    <row r="81" spans="1:23" x14ac:dyDescent="0.25">
      <c r="A81" s="191"/>
      <c r="B81" s="164"/>
      <c r="C81" s="163"/>
      <c r="D81" s="163"/>
      <c r="E81" s="163"/>
      <c r="F81" s="26" t="s">
        <v>702</v>
      </c>
      <c r="G81" s="27">
        <f>SUM(G80)</f>
        <v>61</v>
      </c>
      <c r="H81" s="27">
        <f>SUM(H80)</f>
        <v>2530</v>
      </c>
      <c r="I81" s="194">
        <f t="shared" si="12"/>
        <v>2591</v>
      </c>
      <c r="J81" s="27">
        <f t="shared" ref="J81:U81" si="17">SUM(J80)</f>
        <v>61</v>
      </c>
      <c r="K81" s="27">
        <f t="shared" si="17"/>
        <v>0</v>
      </c>
      <c r="L81" s="27">
        <f t="shared" si="17"/>
        <v>0</v>
      </c>
      <c r="M81" s="27">
        <f t="shared" si="17"/>
        <v>0</v>
      </c>
      <c r="N81" s="27">
        <f t="shared" si="17"/>
        <v>0</v>
      </c>
      <c r="O81" s="27">
        <f t="shared" si="17"/>
        <v>0</v>
      </c>
      <c r="P81" s="27">
        <f t="shared" si="17"/>
        <v>2530</v>
      </c>
      <c r="Q81" s="27">
        <f t="shared" si="17"/>
        <v>0</v>
      </c>
      <c r="R81" s="27">
        <f t="shared" si="17"/>
        <v>0</v>
      </c>
      <c r="S81" s="27">
        <f t="shared" si="17"/>
        <v>0</v>
      </c>
      <c r="T81" s="27">
        <f t="shared" si="17"/>
        <v>0</v>
      </c>
      <c r="U81" s="27">
        <f t="shared" si="17"/>
        <v>0</v>
      </c>
      <c r="V81" s="30"/>
      <c r="W81" s="26"/>
    </row>
    <row r="82" spans="1:23" x14ac:dyDescent="0.25">
      <c r="A82" s="190" t="s">
        <v>745</v>
      </c>
      <c r="B82" s="163">
        <v>2014</v>
      </c>
      <c r="C82" s="163" t="s">
        <v>746</v>
      </c>
      <c r="D82" s="163" t="s">
        <v>840</v>
      </c>
      <c r="E82" s="193" t="s">
        <v>945</v>
      </c>
      <c r="F82" s="28" t="s">
        <v>108</v>
      </c>
      <c r="G82" s="25">
        <v>1290</v>
      </c>
      <c r="H82" s="25">
        <v>955</v>
      </c>
      <c r="I82" s="25">
        <f t="shared" si="12"/>
        <v>2245</v>
      </c>
      <c r="J82" s="34">
        <v>0</v>
      </c>
      <c r="K82" s="34">
        <v>0</v>
      </c>
      <c r="L82" s="34">
        <v>0</v>
      </c>
      <c r="M82" s="34">
        <v>0</v>
      </c>
      <c r="N82" s="25">
        <v>1290</v>
      </c>
      <c r="O82" s="34">
        <v>0</v>
      </c>
      <c r="P82" s="34">
        <v>0</v>
      </c>
      <c r="Q82" s="34">
        <v>0</v>
      </c>
      <c r="R82" s="34">
        <v>0</v>
      </c>
      <c r="S82" s="34">
        <v>0</v>
      </c>
      <c r="T82" s="25">
        <v>955</v>
      </c>
      <c r="U82" s="34">
        <v>0</v>
      </c>
      <c r="V82" s="164" t="s">
        <v>11</v>
      </c>
      <c r="W82" s="43" t="s">
        <v>20</v>
      </c>
    </row>
    <row r="83" spans="1:23" x14ac:dyDescent="0.25">
      <c r="A83" s="190"/>
      <c r="B83" s="163"/>
      <c r="C83" s="163"/>
      <c r="D83" s="163"/>
      <c r="E83" s="163"/>
      <c r="F83" s="28" t="s">
        <v>719</v>
      </c>
      <c r="G83" s="25">
        <v>861</v>
      </c>
      <c r="H83" s="25">
        <v>550</v>
      </c>
      <c r="I83" s="25">
        <f t="shared" si="12"/>
        <v>1411</v>
      </c>
      <c r="J83" s="34">
        <v>0</v>
      </c>
      <c r="K83" s="25">
        <v>861</v>
      </c>
      <c r="L83" s="34">
        <v>0</v>
      </c>
      <c r="M83" s="34">
        <v>0</v>
      </c>
      <c r="N83" s="34">
        <v>0</v>
      </c>
      <c r="O83" s="34">
        <v>0</v>
      </c>
      <c r="P83" s="34">
        <v>0</v>
      </c>
      <c r="Q83" s="25">
        <v>550</v>
      </c>
      <c r="R83" s="34">
        <v>0</v>
      </c>
      <c r="S83" s="34">
        <v>0</v>
      </c>
      <c r="T83" s="34">
        <v>0</v>
      </c>
      <c r="U83" s="34">
        <v>0</v>
      </c>
      <c r="V83" s="164"/>
      <c r="W83" s="43" t="s">
        <v>20</v>
      </c>
    </row>
    <row r="84" spans="1:23" x14ac:dyDescent="0.25">
      <c r="A84" s="190"/>
      <c r="B84" s="163"/>
      <c r="C84" s="163"/>
      <c r="D84" s="163"/>
      <c r="E84" s="163"/>
      <c r="F84" s="26" t="s">
        <v>702</v>
      </c>
      <c r="G84" s="27">
        <f>SUM(G82:G83)</f>
        <v>2151</v>
      </c>
      <c r="H84" s="27">
        <f>SUM(H82:H83)</f>
        <v>1505</v>
      </c>
      <c r="I84" s="194">
        <f t="shared" si="12"/>
        <v>3656</v>
      </c>
      <c r="J84" s="27">
        <f t="shared" ref="J84:U84" si="18">SUM(J82:J83)</f>
        <v>0</v>
      </c>
      <c r="K84" s="27">
        <f t="shared" si="18"/>
        <v>861</v>
      </c>
      <c r="L84" s="27">
        <f t="shared" si="18"/>
        <v>0</v>
      </c>
      <c r="M84" s="27">
        <f t="shared" si="18"/>
        <v>0</v>
      </c>
      <c r="N84" s="27">
        <f t="shared" si="18"/>
        <v>1290</v>
      </c>
      <c r="O84" s="197">
        <f t="shared" si="18"/>
        <v>0</v>
      </c>
      <c r="P84" s="27">
        <f t="shared" si="18"/>
        <v>0</v>
      </c>
      <c r="Q84" s="27">
        <f t="shared" si="18"/>
        <v>550</v>
      </c>
      <c r="R84" s="27">
        <f t="shared" si="18"/>
        <v>0</v>
      </c>
      <c r="S84" s="27">
        <f t="shared" si="18"/>
        <v>0</v>
      </c>
      <c r="T84" s="27">
        <f t="shared" si="18"/>
        <v>955</v>
      </c>
      <c r="U84" s="27">
        <f t="shared" si="18"/>
        <v>0</v>
      </c>
      <c r="V84" s="30"/>
      <c r="W84" s="26"/>
    </row>
    <row r="85" spans="1:23" x14ac:dyDescent="0.25">
      <c r="A85" s="190" t="s">
        <v>747</v>
      </c>
      <c r="B85" s="163">
        <v>2014</v>
      </c>
      <c r="C85" s="163" t="s">
        <v>748</v>
      </c>
      <c r="D85" s="163" t="s">
        <v>839</v>
      </c>
      <c r="E85" s="193" t="s">
        <v>946</v>
      </c>
      <c r="F85" s="28" t="s">
        <v>108</v>
      </c>
      <c r="G85" s="25">
        <v>1114</v>
      </c>
      <c r="H85" s="25">
        <v>913</v>
      </c>
      <c r="I85" s="25">
        <f t="shared" si="12"/>
        <v>2027</v>
      </c>
      <c r="J85" s="34">
        <v>0</v>
      </c>
      <c r="K85" s="34">
        <v>0</v>
      </c>
      <c r="L85" s="34">
        <v>0</v>
      </c>
      <c r="M85" s="34">
        <v>0</v>
      </c>
      <c r="N85" s="25">
        <v>1114</v>
      </c>
      <c r="O85" s="34">
        <v>0</v>
      </c>
      <c r="P85" s="34">
        <v>0</v>
      </c>
      <c r="Q85" s="34">
        <v>0</v>
      </c>
      <c r="R85" s="34">
        <v>0</v>
      </c>
      <c r="S85" s="34">
        <v>0</v>
      </c>
      <c r="T85" s="25">
        <v>913</v>
      </c>
      <c r="U85" s="34">
        <v>0</v>
      </c>
      <c r="V85" s="164" t="s">
        <v>911</v>
      </c>
      <c r="W85" s="162" t="s">
        <v>989</v>
      </c>
    </row>
    <row r="86" spans="1:23" x14ac:dyDescent="0.25">
      <c r="A86" s="190"/>
      <c r="B86" s="163"/>
      <c r="C86" s="163"/>
      <c r="D86" s="163"/>
      <c r="E86" s="163"/>
      <c r="F86" s="28" t="s">
        <v>26</v>
      </c>
      <c r="G86" s="25">
        <v>868</v>
      </c>
      <c r="H86" s="25">
        <v>881</v>
      </c>
      <c r="I86" s="25">
        <f t="shared" si="12"/>
        <v>1749</v>
      </c>
      <c r="J86" s="34">
        <v>0</v>
      </c>
      <c r="K86" s="34">
        <v>0</v>
      </c>
      <c r="L86" s="34">
        <v>0</v>
      </c>
      <c r="M86" s="34">
        <v>0</v>
      </c>
      <c r="N86" s="25">
        <v>868</v>
      </c>
      <c r="O86" s="34">
        <v>0</v>
      </c>
      <c r="P86" s="34">
        <v>0</v>
      </c>
      <c r="Q86" s="34">
        <v>0</v>
      </c>
      <c r="R86" s="34">
        <v>0</v>
      </c>
      <c r="S86" s="34">
        <v>0</v>
      </c>
      <c r="T86" s="25">
        <v>881</v>
      </c>
      <c r="U86" s="34">
        <v>0</v>
      </c>
      <c r="V86" s="164"/>
      <c r="W86" s="162"/>
    </row>
    <row r="87" spans="1:23" x14ac:dyDescent="0.25">
      <c r="A87" s="190"/>
      <c r="B87" s="163"/>
      <c r="C87" s="163"/>
      <c r="D87" s="163"/>
      <c r="E87" s="163"/>
      <c r="F87" s="28" t="s">
        <v>143</v>
      </c>
      <c r="G87" s="25">
        <v>0</v>
      </c>
      <c r="H87" s="25" t="s">
        <v>749</v>
      </c>
      <c r="I87" s="25">
        <f t="shared" si="12"/>
        <v>0</v>
      </c>
      <c r="J87" s="34">
        <v>0</v>
      </c>
      <c r="K87" s="34">
        <v>0</v>
      </c>
      <c r="L87" s="34">
        <v>0</v>
      </c>
      <c r="M87" s="34">
        <v>0</v>
      </c>
      <c r="N87" s="25">
        <v>0</v>
      </c>
      <c r="O87" s="34">
        <v>0</v>
      </c>
      <c r="P87" s="34">
        <v>0</v>
      </c>
      <c r="Q87" s="34">
        <v>0</v>
      </c>
      <c r="R87" s="34">
        <v>0</v>
      </c>
      <c r="S87" s="34">
        <v>0</v>
      </c>
      <c r="T87" s="25">
        <v>0</v>
      </c>
      <c r="U87" s="34">
        <v>0</v>
      </c>
      <c r="V87" s="164"/>
      <c r="W87" s="162"/>
    </row>
    <row r="88" spans="1:23" x14ac:dyDescent="0.25">
      <c r="A88" s="190"/>
      <c r="B88" s="163"/>
      <c r="C88" s="163"/>
      <c r="D88" s="163"/>
      <c r="E88" s="163"/>
      <c r="F88" s="28" t="s">
        <v>135</v>
      </c>
      <c r="G88" s="25">
        <v>255</v>
      </c>
      <c r="H88" s="25">
        <v>2471</v>
      </c>
      <c r="I88" s="25">
        <f t="shared" si="12"/>
        <v>2726</v>
      </c>
      <c r="J88" s="34">
        <v>0</v>
      </c>
      <c r="K88" s="34">
        <v>0</v>
      </c>
      <c r="L88" s="34">
        <v>0</v>
      </c>
      <c r="M88" s="34">
        <v>0</v>
      </c>
      <c r="N88" s="25">
        <v>255</v>
      </c>
      <c r="O88" s="34">
        <v>0</v>
      </c>
      <c r="P88" s="34">
        <v>0</v>
      </c>
      <c r="Q88" s="34">
        <v>0</v>
      </c>
      <c r="R88" s="34">
        <v>0</v>
      </c>
      <c r="S88" s="34">
        <v>0</v>
      </c>
      <c r="T88" s="25">
        <v>2471</v>
      </c>
      <c r="U88" s="34">
        <v>0</v>
      </c>
      <c r="V88" s="164"/>
      <c r="W88" s="162"/>
    </row>
    <row r="89" spans="1:23" x14ac:dyDescent="0.25">
      <c r="A89" s="190"/>
      <c r="B89" s="163"/>
      <c r="C89" s="163"/>
      <c r="D89" s="163"/>
      <c r="E89" s="163"/>
      <c r="F89" s="28" t="s">
        <v>750</v>
      </c>
      <c r="G89" s="25">
        <v>143</v>
      </c>
      <c r="H89" s="25">
        <v>183</v>
      </c>
      <c r="I89" s="25">
        <f t="shared" si="12"/>
        <v>326</v>
      </c>
      <c r="J89" s="34">
        <v>0</v>
      </c>
      <c r="K89" s="34">
        <v>0</v>
      </c>
      <c r="L89" s="34">
        <v>0</v>
      </c>
      <c r="M89" s="34">
        <v>0</v>
      </c>
      <c r="N89" s="25">
        <v>143</v>
      </c>
      <c r="O89" s="34">
        <v>0</v>
      </c>
      <c r="P89" s="34">
        <v>0</v>
      </c>
      <c r="Q89" s="34">
        <v>0</v>
      </c>
      <c r="R89" s="34">
        <v>0</v>
      </c>
      <c r="S89" s="34">
        <v>0</v>
      </c>
      <c r="T89" s="25">
        <v>183</v>
      </c>
      <c r="U89" s="34">
        <v>0</v>
      </c>
      <c r="V89" s="164"/>
      <c r="W89" s="162"/>
    </row>
    <row r="90" spans="1:23" x14ac:dyDescent="0.25">
      <c r="A90" s="190"/>
      <c r="B90" s="163"/>
      <c r="C90" s="163"/>
      <c r="D90" s="163"/>
      <c r="E90" s="163"/>
      <c r="F90" s="28" t="s">
        <v>28</v>
      </c>
      <c r="G90" s="25">
        <v>1253</v>
      </c>
      <c r="H90" s="25">
        <v>958</v>
      </c>
      <c r="I90" s="25">
        <f t="shared" si="12"/>
        <v>2211</v>
      </c>
      <c r="J90" s="34">
        <v>0</v>
      </c>
      <c r="K90" s="34">
        <v>0</v>
      </c>
      <c r="L90" s="34">
        <v>0</v>
      </c>
      <c r="M90" s="34">
        <v>0</v>
      </c>
      <c r="N90" s="25">
        <v>1253</v>
      </c>
      <c r="O90" s="34">
        <v>0</v>
      </c>
      <c r="P90" s="34">
        <v>0</v>
      </c>
      <c r="Q90" s="34">
        <v>0</v>
      </c>
      <c r="R90" s="34">
        <v>0</v>
      </c>
      <c r="S90" s="34">
        <v>0</v>
      </c>
      <c r="T90" s="25">
        <v>958</v>
      </c>
      <c r="U90" s="34">
        <v>0</v>
      </c>
      <c r="V90" s="164"/>
      <c r="W90" s="162"/>
    </row>
    <row r="91" spans="1:23" x14ac:dyDescent="0.25">
      <c r="A91" s="190"/>
      <c r="B91" s="163"/>
      <c r="C91" s="163"/>
      <c r="D91" s="163"/>
      <c r="E91" s="163"/>
      <c r="F91" s="28" t="s">
        <v>751</v>
      </c>
      <c r="G91" s="25">
        <v>269</v>
      </c>
      <c r="H91" s="25">
        <v>250</v>
      </c>
      <c r="I91" s="25">
        <f t="shared" si="12"/>
        <v>519</v>
      </c>
      <c r="J91" s="34">
        <v>0</v>
      </c>
      <c r="K91" s="34">
        <v>0</v>
      </c>
      <c r="L91" s="34">
        <v>0</v>
      </c>
      <c r="M91" s="34">
        <v>0</v>
      </c>
      <c r="N91" s="25">
        <v>269</v>
      </c>
      <c r="O91" s="34">
        <v>0</v>
      </c>
      <c r="P91" s="34">
        <v>0</v>
      </c>
      <c r="Q91" s="34">
        <v>0</v>
      </c>
      <c r="R91" s="34">
        <v>0</v>
      </c>
      <c r="S91" s="34">
        <v>0</v>
      </c>
      <c r="T91" s="25">
        <v>250</v>
      </c>
      <c r="U91" s="34">
        <v>0</v>
      </c>
      <c r="V91" s="164"/>
      <c r="W91" s="162"/>
    </row>
    <row r="92" spans="1:23" x14ac:dyDescent="0.25">
      <c r="A92" s="190"/>
      <c r="B92" s="163"/>
      <c r="C92" s="163"/>
      <c r="D92" s="163"/>
      <c r="E92" s="163"/>
      <c r="F92" s="26" t="s">
        <v>702</v>
      </c>
      <c r="G92" s="27">
        <f>SUM(G85:G91)</f>
        <v>3902</v>
      </c>
      <c r="H92" s="27">
        <f>SUM(H85:H91)</f>
        <v>5656</v>
      </c>
      <c r="I92" s="194">
        <f t="shared" si="12"/>
        <v>9558</v>
      </c>
      <c r="J92" s="27">
        <f t="shared" ref="J92:U92" si="19">SUM(J85:J91)</f>
        <v>0</v>
      </c>
      <c r="K92" s="27">
        <f t="shared" si="19"/>
        <v>0</v>
      </c>
      <c r="L92" s="27">
        <f t="shared" si="19"/>
        <v>0</v>
      </c>
      <c r="M92" s="27">
        <f t="shared" si="19"/>
        <v>0</v>
      </c>
      <c r="N92" s="27">
        <f t="shared" si="19"/>
        <v>3902</v>
      </c>
      <c r="O92" s="27">
        <f t="shared" si="19"/>
        <v>0</v>
      </c>
      <c r="P92" s="27">
        <f t="shared" si="19"/>
        <v>0</v>
      </c>
      <c r="Q92" s="27">
        <f t="shared" si="19"/>
        <v>0</v>
      </c>
      <c r="R92" s="27">
        <f t="shared" si="19"/>
        <v>0</v>
      </c>
      <c r="S92" s="27">
        <f t="shared" si="19"/>
        <v>0</v>
      </c>
      <c r="T92" s="27">
        <f t="shared" si="19"/>
        <v>5656</v>
      </c>
      <c r="U92" s="27">
        <f t="shared" si="19"/>
        <v>0</v>
      </c>
      <c r="V92" s="30"/>
      <c r="W92" s="42"/>
    </row>
    <row r="93" spans="1:23" x14ac:dyDescent="0.25">
      <c r="A93" s="190" t="s">
        <v>752</v>
      </c>
      <c r="B93" s="163">
        <v>2015</v>
      </c>
      <c r="C93" s="163" t="s">
        <v>753</v>
      </c>
      <c r="D93" s="163" t="s">
        <v>838</v>
      </c>
      <c r="E93" s="193" t="s">
        <v>947</v>
      </c>
      <c r="F93" s="28" t="s">
        <v>134</v>
      </c>
      <c r="G93" s="25">
        <v>0</v>
      </c>
      <c r="H93" s="25">
        <v>0</v>
      </c>
      <c r="I93" s="25">
        <f t="shared" si="12"/>
        <v>0</v>
      </c>
      <c r="J93" s="34">
        <v>0</v>
      </c>
      <c r="K93" s="34">
        <v>0</v>
      </c>
      <c r="L93" s="34">
        <v>0</v>
      </c>
      <c r="M93" s="34">
        <v>0</v>
      </c>
      <c r="N93" s="34">
        <v>0</v>
      </c>
      <c r="O93" s="34">
        <v>0</v>
      </c>
      <c r="P93" s="34">
        <v>0</v>
      </c>
      <c r="Q93" s="34">
        <v>0</v>
      </c>
      <c r="R93" s="34">
        <v>0</v>
      </c>
      <c r="S93" s="34">
        <v>0</v>
      </c>
      <c r="T93" s="34">
        <v>0</v>
      </c>
      <c r="U93" s="34">
        <v>0</v>
      </c>
      <c r="V93" s="164" t="s">
        <v>11</v>
      </c>
      <c r="W93" s="162" t="s">
        <v>976</v>
      </c>
    </row>
    <row r="94" spans="1:23" x14ac:dyDescent="0.25">
      <c r="A94" s="190"/>
      <c r="B94" s="163"/>
      <c r="C94" s="163"/>
      <c r="D94" s="163"/>
      <c r="E94" s="163"/>
      <c r="F94" s="28" t="s">
        <v>114</v>
      </c>
      <c r="G94" s="25">
        <v>0</v>
      </c>
      <c r="H94" s="25">
        <v>0</v>
      </c>
      <c r="I94" s="25">
        <f t="shared" si="12"/>
        <v>0</v>
      </c>
      <c r="J94" s="34">
        <v>0</v>
      </c>
      <c r="K94" s="34">
        <v>0</v>
      </c>
      <c r="L94" s="34">
        <v>0</v>
      </c>
      <c r="M94" s="34">
        <v>0</v>
      </c>
      <c r="N94" s="34">
        <v>0</v>
      </c>
      <c r="O94" s="34">
        <v>0</v>
      </c>
      <c r="P94" s="34">
        <v>0</v>
      </c>
      <c r="Q94" s="34">
        <v>0</v>
      </c>
      <c r="R94" s="34">
        <v>0</v>
      </c>
      <c r="S94" s="34">
        <v>0</v>
      </c>
      <c r="T94" s="34">
        <v>0</v>
      </c>
      <c r="U94" s="34">
        <v>0</v>
      </c>
      <c r="V94" s="164"/>
      <c r="W94" s="162"/>
    </row>
    <row r="95" spans="1:23" x14ac:dyDescent="0.25">
      <c r="A95" s="190"/>
      <c r="B95" s="163"/>
      <c r="C95" s="163"/>
      <c r="D95" s="163"/>
      <c r="E95" s="163"/>
      <c r="F95" s="28" t="s">
        <v>142</v>
      </c>
      <c r="G95" s="25">
        <v>0</v>
      </c>
      <c r="H95" s="25">
        <v>0</v>
      </c>
      <c r="I95" s="25">
        <f t="shared" si="12"/>
        <v>0</v>
      </c>
      <c r="J95" s="34">
        <v>0</v>
      </c>
      <c r="K95" s="34">
        <v>0</v>
      </c>
      <c r="L95" s="34">
        <v>0</v>
      </c>
      <c r="M95" s="34">
        <v>0</v>
      </c>
      <c r="N95" s="34">
        <v>0</v>
      </c>
      <c r="O95" s="34">
        <v>0</v>
      </c>
      <c r="P95" s="34">
        <v>0</v>
      </c>
      <c r="Q95" s="34">
        <v>0</v>
      </c>
      <c r="R95" s="34">
        <v>0</v>
      </c>
      <c r="S95" s="34">
        <v>0</v>
      </c>
      <c r="T95" s="34">
        <v>0</v>
      </c>
      <c r="U95" s="34">
        <v>0</v>
      </c>
      <c r="V95" s="164"/>
      <c r="W95" s="43" t="s">
        <v>990</v>
      </c>
    </row>
    <row r="96" spans="1:23" x14ac:dyDescent="0.25">
      <c r="A96" s="190"/>
      <c r="B96" s="163"/>
      <c r="C96" s="163"/>
      <c r="D96" s="163"/>
      <c r="E96" s="163"/>
      <c r="F96" s="26" t="s">
        <v>702</v>
      </c>
      <c r="G96" s="27">
        <v>2451</v>
      </c>
      <c r="H96" s="27">
        <v>2063</v>
      </c>
      <c r="I96" s="194">
        <f t="shared" si="12"/>
        <v>4514</v>
      </c>
      <c r="J96" s="27">
        <v>0</v>
      </c>
      <c r="K96" s="27">
        <v>0</v>
      </c>
      <c r="L96" s="27">
        <v>0</v>
      </c>
      <c r="M96" s="27">
        <v>0</v>
      </c>
      <c r="N96" s="27">
        <v>2451</v>
      </c>
      <c r="O96" s="27">
        <v>0</v>
      </c>
      <c r="P96" s="27">
        <v>0</v>
      </c>
      <c r="Q96" s="27">
        <v>0</v>
      </c>
      <c r="R96" s="27">
        <v>0</v>
      </c>
      <c r="S96" s="27">
        <v>0</v>
      </c>
      <c r="T96" s="27">
        <v>2063</v>
      </c>
      <c r="U96" s="27">
        <v>0</v>
      </c>
      <c r="V96" s="30"/>
      <c r="W96" s="42"/>
    </row>
    <row r="97" spans="1:23" x14ac:dyDescent="0.25">
      <c r="A97" s="190" t="s">
        <v>754</v>
      </c>
      <c r="B97" s="163">
        <v>2015</v>
      </c>
      <c r="C97" s="163" t="s">
        <v>755</v>
      </c>
      <c r="D97" s="163" t="s">
        <v>837</v>
      </c>
      <c r="E97" s="193" t="s">
        <v>948</v>
      </c>
      <c r="F97" s="28" t="s">
        <v>756</v>
      </c>
      <c r="G97" s="25">
        <v>827</v>
      </c>
      <c r="H97" s="25">
        <v>0</v>
      </c>
      <c r="I97" s="25">
        <f t="shared" si="12"/>
        <v>827</v>
      </c>
      <c r="J97" s="25">
        <v>827</v>
      </c>
      <c r="K97" s="34">
        <v>0</v>
      </c>
      <c r="L97" s="34">
        <v>0</v>
      </c>
      <c r="M97" s="34">
        <v>0</v>
      </c>
      <c r="N97" s="34">
        <v>0</v>
      </c>
      <c r="O97" s="34">
        <v>0</v>
      </c>
      <c r="P97" s="34">
        <v>0</v>
      </c>
      <c r="Q97" s="34">
        <v>0</v>
      </c>
      <c r="R97" s="34">
        <v>0</v>
      </c>
      <c r="S97" s="34">
        <v>0</v>
      </c>
      <c r="T97" s="25">
        <v>0</v>
      </c>
      <c r="U97" s="37">
        <v>0</v>
      </c>
      <c r="V97" s="164" t="s">
        <v>11</v>
      </c>
      <c r="W97" s="162" t="s">
        <v>968</v>
      </c>
    </row>
    <row r="98" spans="1:23" x14ac:dyDescent="0.25">
      <c r="A98" s="190"/>
      <c r="B98" s="163"/>
      <c r="C98" s="163"/>
      <c r="D98" s="163"/>
      <c r="E98" s="163"/>
      <c r="F98" s="28" t="s">
        <v>757</v>
      </c>
      <c r="G98" s="25">
        <v>0</v>
      </c>
      <c r="H98" s="25">
        <v>6063</v>
      </c>
      <c r="I98" s="25">
        <f t="shared" si="12"/>
        <v>6063</v>
      </c>
      <c r="J98" s="25">
        <v>0</v>
      </c>
      <c r="K98" s="34">
        <v>0</v>
      </c>
      <c r="L98" s="34">
        <v>0</v>
      </c>
      <c r="M98" s="34">
        <v>0</v>
      </c>
      <c r="N98" s="34">
        <v>0</v>
      </c>
      <c r="O98" s="34">
        <v>0</v>
      </c>
      <c r="P98" s="34">
        <v>0</v>
      </c>
      <c r="Q98" s="34">
        <v>0</v>
      </c>
      <c r="R98" s="34">
        <v>0</v>
      </c>
      <c r="S98" s="34">
        <v>0</v>
      </c>
      <c r="T98" s="25">
        <v>6063</v>
      </c>
      <c r="U98" s="37">
        <v>0</v>
      </c>
      <c r="V98" s="164"/>
      <c r="W98" s="162"/>
    </row>
    <row r="99" spans="1:23" x14ac:dyDescent="0.25">
      <c r="A99" s="190"/>
      <c r="B99" s="163"/>
      <c r="C99" s="163"/>
      <c r="D99" s="163"/>
      <c r="E99" s="163"/>
      <c r="F99" s="28" t="s">
        <v>758</v>
      </c>
      <c r="G99" s="25">
        <v>0</v>
      </c>
      <c r="H99" s="25">
        <v>1023</v>
      </c>
      <c r="I99" s="25">
        <f t="shared" si="12"/>
        <v>1023</v>
      </c>
      <c r="J99" s="25">
        <v>0</v>
      </c>
      <c r="K99" s="34">
        <v>0</v>
      </c>
      <c r="L99" s="34">
        <v>0</v>
      </c>
      <c r="M99" s="34">
        <v>0</v>
      </c>
      <c r="N99" s="34">
        <v>0</v>
      </c>
      <c r="O99" s="34">
        <v>0</v>
      </c>
      <c r="P99" s="34">
        <v>0</v>
      </c>
      <c r="Q99" s="34">
        <v>0</v>
      </c>
      <c r="R99" s="34">
        <v>0</v>
      </c>
      <c r="S99" s="34">
        <v>0</v>
      </c>
      <c r="T99" s="25">
        <v>1023</v>
      </c>
      <c r="U99" s="37">
        <v>0</v>
      </c>
      <c r="V99" s="164"/>
      <c r="W99" s="162"/>
    </row>
    <row r="100" spans="1:23" x14ac:dyDescent="0.25">
      <c r="A100" s="190"/>
      <c r="B100" s="163"/>
      <c r="C100" s="163"/>
      <c r="D100" s="163"/>
      <c r="E100" s="163"/>
      <c r="F100" s="28" t="s">
        <v>759</v>
      </c>
      <c r="G100" s="25">
        <v>0</v>
      </c>
      <c r="H100" s="25">
        <v>906</v>
      </c>
      <c r="I100" s="25">
        <f t="shared" si="12"/>
        <v>906</v>
      </c>
      <c r="J100" s="25">
        <v>0</v>
      </c>
      <c r="K100" s="25">
        <v>0</v>
      </c>
      <c r="L100" s="25">
        <v>0</v>
      </c>
      <c r="M100" s="25">
        <v>0</v>
      </c>
      <c r="N100" s="25">
        <v>0</v>
      </c>
      <c r="O100" s="25">
        <v>0</v>
      </c>
      <c r="P100" s="25">
        <v>0</v>
      </c>
      <c r="Q100" s="25">
        <v>0</v>
      </c>
      <c r="R100" s="25">
        <v>0</v>
      </c>
      <c r="S100" s="25">
        <v>0</v>
      </c>
      <c r="T100" s="25">
        <v>906</v>
      </c>
      <c r="U100" s="37">
        <v>0</v>
      </c>
      <c r="V100" s="164"/>
      <c r="W100" s="162"/>
    </row>
    <row r="101" spans="1:23" x14ac:dyDescent="0.25">
      <c r="A101" s="190"/>
      <c r="B101" s="163"/>
      <c r="C101" s="163"/>
      <c r="D101" s="163"/>
      <c r="E101" s="163"/>
      <c r="F101" s="26" t="s">
        <v>702</v>
      </c>
      <c r="G101" s="27">
        <f>SUM(G97:G99)</f>
        <v>827</v>
      </c>
      <c r="H101" s="27">
        <f>SUM(H97:H99)</f>
        <v>7086</v>
      </c>
      <c r="I101" s="194">
        <f t="shared" si="12"/>
        <v>7913</v>
      </c>
      <c r="J101" s="27">
        <f t="shared" ref="J101:U101" si="20">SUM(J97:J99)</f>
        <v>827</v>
      </c>
      <c r="K101" s="27">
        <f t="shared" si="20"/>
        <v>0</v>
      </c>
      <c r="L101" s="27">
        <f t="shared" si="20"/>
        <v>0</v>
      </c>
      <c r="M101" s="27">
        <f t="shared" si="20"/>
        <v>0</v>
      </c>
      <c r="N101" s="27">
        <f t="shared" si="20"/>
        <v>0</v>
      </c>
      <c r="O101" s="27">
        <f t="shared" si="20"/>
        <v>0</v>
      </c>
      <c r="P101" s="27">
        <f t="shared" si="20"/>
        <v>0</v>
      </c>
      <c r="Q101" s="27">
        <f t="shared" si="20"/>
        <v>0</v>
      </c>
      <c r="R101" s="27">
        <f t="shared" si="20"/>
        <v>0</v>
      </c>
      <c r="S101" s="27">
        <f t="shared" si="20"/>
        <v>0</v>
      </c>
      <c r="T101" s="27">
        <f t="shared" si="20"/>
        <v>7086</v>
      </c>
      <c r="U101" s="27">
        <f t="shared" si="20"/>
        <v>0</v>
      </c>
      <c r="V101" s="30"/>
      <c r="W101" s="42"/>
    </row>
    <row r="102" spans="1:23" x14ac:dyDescent="0.25">
      <c r="A102" s="190" t="s">
        <v>743</v>
      </c>
      <c r="B102" s="163">
        <v>2016</v>
      </c>
      <c r="C102" s="163" t="s">
        <v>760</v>
      </c>
      <c r="D102" s="163" t="s">
        <v>836</v>
      </c>
      <c r="E102" s="193" t="s">
        <v>949</v>
      </c>
      <c r="F102" s="28" t="s">
        <v>761</v>
      </c>
      <c r="G102" s="25">
        <f>7184+4480</f>
        <v>11664</v>
      </c>
      <c r="H102" s="25">
        <f>2947+8106</f>
        <v>11053</v>
      </c>
      <c r="I102" s="25">
        <f t="shared" si="12"/>
        <v>22717</v>
      </c>
      <c r="J102" s="34">
        <v>0</v>
      </c>
      <c r="K102" s="34">
        <v>0</v>
      </c>
      <c r="L102" s="34">
        <v>0</v>
      </c>
      <c r="M102" s="34">
        <v>0</v>
      </c>
      <c r="N102" s="25">
        <f>7184+4480</f>
        <v>11664</v>
      </c>
      <c r="O102" s="34">
        <v>0</v>
      </c>
      <c r="P102" s="34">
        <v>0</v>
      </c>
      <c r="Q102" s="34">
        <v>0</v>
      </c>
      <c r="R102" s="34">
        <v>0</v>
      </c>
      <c r="S102" s="34">
        <v>0</v>
      </c>
      <c r="T102" s="25">
        <f>2947+8106</f>
        <v>11053</v>
      </c>
      <c r="U102" s="34">
        <v>0</v>
      </c>
      <c r="V102" s="164" t="s">
        <v>11</v>
      </c>
      <c r="W102" s="43" t="s">
        <v>20</v>
      </c>
    </row>
    <row r="103" spans="1:23" x14ac:dyDescent="0.25">
      <c r="A103" s="190"/>
      <c r="B103" s="163"/>
      <c r="C103" s="163"/>
      <c r="D103" s="163"/>
      <c r="E103" s="163"/>
      <c r="F103" s="28" t="s">
        <v>61</v>
      </c>
      <c r="G103" s="25">
        <f>988+1041</f>
        <v>2029</v>
      </c>
      <c r="H103" s="25">
        <f>1201+4816</f>
        <v>6017</v>
      </c>
      <c r="I103" s="25">
        <f t="shared" si="12"/>
        <v>8046</v>
      </c>
      <c r="J103" s="34">
        <v>0</v>
      </c>
      <c r="K103" s="34">
        <v>0</v>
      </c>
      <c r="L103" s="34">
        <v>0</v>
      </c>
      <c r="M103" s="34">
        <v>0</v>
      </c>
      <c r="N103" s="25">
        <f>988+1041</f>
        <v>2029</v>
      </c>
      <c r="O103" s="34">
        <v>0</v>
      </c>
      <c r="P103" s="34">
        <v>0</v>
      </c>
      <c r="Q103" s="34">
        <v>0</v>
      </c>
      <c r="R103" s="34">
        <v>0</v>
      </c>
      <c r="S103" s="34">
        <v>0</v>
      </c>
      <c r="T103" s="25">
        <f>1201+4816</f>
        <v>6017</v>
      </c>
      <c r="U103" s="34">
        <v>0</v>
      </c>
      <c r="V103" s="164"/>
      <c r="W103" s="43" t="s">
        <v>20</v>
      </c>
    </row>
    <row r="104" spans="1:23" x14ac:dyDescent="0.25">
      <c r="A104" s="190"/>
      <c r="B104" s="163"/>
      <c r="C104" s="163"/>
      <c r="D104" s="163"/>
      <c r="E104" s="163"/>
      <c r="F104" s="29" t="s">
        <v>736</v>
      </c>
      <c r="G104" s="25">
        <f>1727+1170</f>
        <v>2897</v>
      </c>
      <c r="H104" s="25">
        <f>1729+4302</f>
        <v>6031</v>
      </c>
      <c r="I104" s="25">
        <f t="shared" si="12"/>
        <v>8928</v>
      </c>
      <c r="J104" s="34">
        <v>0</v>
      </c>
      <c r="K104" s="34">
        <v>0</v>
      </c>
      <c r="L104" s="34">
        <v>0</v>
      </c>
      <c r="M104" s="34">
        <v>0</v>
      </c>
      <c r="N104" s="25">
        <f>1727+1170</f>
        <v>2897</v>
      </c>
      <c r="O104" s="34">
        <v>0</v>
      </c>
      <c r="P104" s="34">
        <v>0</v>
      </c>
      <c r="Q104" s="34">
        <v>0</v>
      </c>
      <c r="R104" s="34">
        <v>0</v>
      </c>
      <c r="S104" s="34">
        <v>0</v>
      </c>
      <c r="T104" s="25">
        <f>1729+4302</f>
        <v>6031</v>
      </c>
      <c r="U104" s="34">
        <v>0</v>
      </c>
      <c r="V104" s="164"/>
      <c r="W104" s="43" t="s">
        <v>20</v>
      </c>
    </row>
    <row r="105" spans="1:23" x14ac:dyDescent="0.25">
      <c r="A105" s="190"/>
      <c r="B105" s="163"/>
      <c r="C105" s="163"/>
      <c r="D105" s="163"/>
      <c r="E105" s="163"/>
      <c r="F105" s="28" t="s">
        <v>30</v>
      </c>
      <c r="G105" s="25">
        <f>27+27</f>
        <v>54</v>
      </c>
      <c r="H105" s="25">
        <f>751+1997</f>
        <v>2748</v>
      </c>
      <c r="I105" s="25">
        <f t="shared" si="12"/>
        <v>2802</v>
      </c>
      <c r="J105" s="25">
        <f>27+27</f>
        <v>54</v>
      </c>
      <c r="K105" s="34">
        <v>0</v>
      </c>
      <c r="L105" s="34">
        <v>0</v>
      </c>
      <c r="M105" s="34">
        <v>0</v>
      </c>
      <c r="N105" s="34">
        <v>0</v>
      </c>
      <c r="O105" s="34">
        <v>0</v>
      </c>
      <c r="P105" s="25">
        <f>751+1997</f>
        <v>2748</v>
      </c>
      <c r="Q105" s="34">
        <v>0</v>
      </c>
      <c r="R105" s="34">
        <v>0</v>
      </c>
      <c r="S105" s="34">
        <v>0</v>
      </c>
      <c r="T105" s="34">
        <v>0</v>
      </c>
      <c r="U105" s="34">
        <v>0</v>
      </c>
      <c r="V105" s="164"/>
      <c r="W105" s="43" t="s">
        <v>20</v>
      </c>
    </row>
    <row r="106" spans="1:23" x14ac:dyDescent="0.25">
      <c r="A106" s="190"/>
      <c r="B106" s="163"/>
      <c r="C106" s="163"/>
      <c r="D106" s="163"/>
      <c r="E106" s="163"/>
      <c r="F106" s="28" t="s">
        <v>151</v>
      </c>
      <c r="G106" s="25">
        <f>454+244</f>
        <v>698</v>
      </c>
      <c r="H106" s="25">
        <f>331+1301</f>
        <v>1632</v>
      </c>
      <c r="I106" s="25">
        <f t="shared" si="12"/>
        <v>2330</v>
      </c>
      <c r="J106" s="25">
        <f>454+244</f>
        <v>698</v>
      </c>
      <c r="K106" s="34">
        <v>0</v>
      </c>
      <c r="L106" s="34">
        <v>0</v>
      </c>
      <c r="M106" s="34">
        <v>0</v>
      </c>
      <c r="N106" s="34">
        <v>0</v>
      </c>
      <c r="O106" s="34">
        <v>0</v>
      </c>
      <c r="P106" s="25">
        <f>331+1301</f>
        <v>1632</v>
      </c>
      <c r="Q106" s="34">
        <v>0</v>
      </c>
      <c r="R106" s="34">
        <v>0</v>
      </c>
      <c r="S106" s="34">
        <v>0</v>
      </c>
      <c r="T106" s="34">
        <v>0</v>
      </c>
      <c r="U106" s="34">
        <v>0</v>
      </c>
      <c r="V106" s="164"/>
      <c r="W106" s="43" t="s">
        <v>20</v>
      </c>
    </row>
    <row r="107" spans="1:23" x14ac:dyDescent="0.25">
      <c r="A107" s="190"/>
      <c r="B107" s="163"/>
      <c r="C107" s="163"/>
      <c r="D107" s="163"/>
      <c r="E107" s="163"/>
      <c r="F107" s="28" t="s">
        <v>152</v>
      </c>
      <c r="G107" s="25">
        <f>727+638+36+77</f>
        <v>1478</v>
      </c>
      <c r="H107" s="25">
        <f>669+604+2488+2152</f>
        <v>5913</v>
      </c>
      <c r="I107" s="25">
        <f t="shared" si="12"/>
        <v>7391</v>
      </c>
      <c r="J107" s="25">
        <f>727+638+36+77</f>
        <v>1478</v>
      </c>
      <c r="K107" s="34">
        <v>0</v>
      </c>
      <c r="L107" s="34">
        <v>0</v>
      </c>
      <c r="M107" s="34">
        <v>0</v>
      </c>
      <c r="N107" s="34">
        <v>0</v>
      </c>
      <c r="O107" s="34">
        <v>0</v>
      </c>
      <c r="P107" s="25">
        <f>669+604+2488+2152</f>
        <v>5913</v>
      </c>
      <c r="Q107" s="34">
        <v>0</v>
      </c>
      <c r="R107" s="34">
        <v>0</v>
      </c>
      <c r="S107" s="34">
        <v>0</v>
      </c>
      <c r="T107" s="34">
        <v>0</v>
      </c>
      <c r="U107" s="34">
        <v>0</v>
      </c>
      <c r="V107" s="164"/>
      <c r="W107" s="43" t="s">
        <v>20</v>
      </c>
    </row>
    <row r="108" spans="1:23" x14ac:dyDescent="0.25">
      <c r="A108" s="190"/>
      <c r="B108" s="163"/>
      <c r="C108" s="163"/>
      <c r="D108" s="163"/>
      <c r="E108" s="163"/>
      <c r="F108" s="29" t="s">
        <v>153</v>
      </c>
      <c r="G108" s="25">
        <f>241+62+313+109</f>
        <v>725</v>
      </c>
      <c r="H108" s="25">
        <f>1549+1308+3958+3645</f>
        <v>10460</v>
      </c>
      <c r="I108" s="25">
        <f t="shared" si="12"/>
        <v>11185</v>
      </c>
      <c r="J108" s="25">
        <f>241+62+313+109</f>
        <v>725</v>
      </c>
      <c r="K108" s="34">
        <v>0</v>
      </c>
      <c r="L108" s="34">
        <v>0</v>
      </c>
      <c r="M108" s="34">
        <v>0</v>
      </c>
      <c r="N108" s="34">
        <v>0</v>
      </c>
      <c r="O108" s="34">
        <v>0</v>
      </c>
      <c r="P108" s="25">
        <f>1549+1308+3958+3645</f>
        <v>10460</v>
      </c>
      <c r="Q108" s="34">
        <v>0</v>
      </c>
      <c r="R108" s="34">
        <v>0</v>
      </c>
      <c r="S108" s="34">
        <v>0</v>
      </c>
      <c r="T108" s="34">
        <v>0</v>
      </c>
      <c r="U108" s="34">
        <v>0</v>
      </c>
      <c r="V108" s="164"/>
      <c r="W108" s="43" t="s">
        <v>20</v>
      </c>
    </row>
    <row r="109" spans="1:23" x14ac:dyDescent="0.25">
      <c r="A109" s="190"/>
      <c r="B109" s="163"/>
      <c r="C109" s="163"/>
      <c r="D109" s="163"/>
      <c r="E109" s="163"/>
      <c r="F109" s="26" t="s">
        <v>702</v>
      </c>
      <c r="G109" s="27">
        <f>SUM(G102:G108)</f>
        <v>19545</v>
      </c>
      <c r="H109" s="27">
        <f>SUM(H102:H108)</f>
        <v>43854</v>
      </c>
      <c r="I109" s="194">
        <f t="shared" si="12"/>
        <v>63399</v>
      </c>
      <c r="J109" s="27">
        <f t="shared" ref="J109:U109" si="21">SUM(J102:J108)</f>
        <v>2955</v>
      </c>
      <c r="K109" s="27">
        <f t="shared" si="21"/>
        <v>0</v>
      </c>
      <c r="L109" s="27">
        <f t="shared" si="21"/>
        <v>0</v>
      </c>
      <c r="M109" s="27">
        <f t="shared" si="21"/>
        <v>0</v>
      </c>
      <c r="N109" s="27">
        <f t="shared" si="21"/>
        <v>16590</v>
      </c>
      <c r="O109" s="27">
        <f t="shared" si="21"/>
        <v>0</v>
      </c>
      <c r="P109" s="27">
        <f t="shared" si="21"/>
        <v>20753</v>
      </c>
      <c r="Q109" s="27">
        <f t="shared" si="21"/>
        <v>0</v>
      </c>
      <c r="R109" s="27">
        <f t="shared" si="21"/>
        <v>0</v>
      </c>
      <c r="S109" s="27">
        <f t="shared" si="21"/>
        <v>0</v>
      </c>
      <c r="T109" s="27">
        <f t="shared" si="21"/>
        <v>23101</v>
      </c>
      <c r="U109" s="27">
        <f t="shared" si="21"/>
        <v>0</v>
      </c>
      <c r="V109" s="30"/>
      <c r="W109" s="42"/>
    </row>
    <row r="110" spans="1:23" x14ac:dyDescent="0.25">
      <c r="A110" s="191" t="s">
        <v>762</v>
      </c>
      <c r="B110" s="164">
        <v>2016</v>
      </c>
      <c r="C110" s="163" t="s">
        <v>763</v>
      </c>
      <c r="D110" s="163" t="s">
        <v>835</v>
      </c>
      <c r="E110" s="193" t="s">
        <v>950</v>
      </c>
      <c r="F110" s="28" t="s">
        <v>26</v>
      </c>
      <c r="G110" s="25">
        <v>748</v>
      </c>
      <c r="H110" s="25">
        <v>282</v>
      </c>
      <c r="I110" s="25">
        <f t="shared" si="12"/>
        <v>1030</v>
      </c>
      <c r="J110" s="34">
        <v>0</v>
      </c>
      <c r="K110" s="34">
        <v>0</v>
      </c>
      <c r="L110" s="34">
        <v>0</v>
      </c>
      <c r="M110" s="34">
        <v>0</v>
      </c>
      <c r="N110" s="25">
        <v>748</v>
      </c>
      <c r="O110" s="34">
        <v>0</v>
      </c>
      <c r="P110" s="34">
        <v>0</v>
      </c>
      <c r="Q110" s="34">
        <v>0</v>
      </c>
      <c r="R110" s="34">
        <v>0</v>
      </c>
      <c r="S110" s="34">
        <v>0</v>
      </c>
      <c r="T110" s="25">
        <v>282</v>
      </c>
      <c r="U110" s="34">
        <v>0</v>
      </c>
      <c r="V110" s="164" t="s">
        <v>11</v>
      </c>
      <c r="W110" s="162" t="s">
        <v>990</v>
      </c>
    </row>
    <row r="111" spans="1:23" x14ac:dyDescent="0.25">
      <c r="A111" s="191"/>
      <c r="B111" s="164"/>
      <c r="C111" s="163"/>
      <c r="D111" s="163"/>
      <c r="E111" s="163"/>
      <c r="F111" s="28" t="s">
        <v>37</v>
      </c>
      <c r="G111" s="25">
        <v>941</v>
      </c>
      <c r="H111" s="25">
        <v>404</v>
      </c>
      <c r="I111" s="25">
        <f t="shared" si="12"/>
        <v>1345</v>
      </c>
      <c r="J111" s="25">
        <v>941</v>
      </c>
      <c r="K111" s="34">
        <v>0</v>
      </c>
      <c r="L111" s="34">
        <v>0</v>
      </c>
      <c r="M111" s="34">
        <v>0</v>
      </c>
      <c r="N111" s="34">
        <v>0</v>
      </c>
      <c r="O111" s="34">
        <v>0</v>
      </c>
      <c r="P111" s="34">
        <v>0</v>
      </c>
      <c r="Q111" s="25">
        <v>404</v>
      </c>
      <c r="R111" s="34">
        <v>0</v>
      </c>
      <c r="S111" s="34">
        <v>0</v>
      </c>
      <c r="T111" s="34">
        <v>0</v>
      </c>
      <c r="U111" s="34">
        <v>0</v>
      </c>
      <c r="V111" s="164"/>
      <c r="W111" s="162"/>
    </row>
    <row r="112" spans="1:23" x14ac:dyDescent="0.25">
      <c r="A112" s="191"/>
      <c r="B112" s="164"/>
      <c r="C112" s="163"/>
      <c r="D112" s="163"/>
      <c r="E112" s="163"/>
      <c r="F112" s="26" t="s">
        <v>702</v>
      </c>
      <c r="G112" s="27">
        <f>SUM(G110:G111)</f>
        <v>1689</v>
      </c>
      <c r="H112" s="27">
        <f>SUM(H110:H111)</f>
        <v>686</v>
      </c>
      <c r="I112" s="194">
        <f t="shared" si="12"/>
        <v>2375</v>
      </c>
      <c r="J112" s="27">
        <f t="shared" ref="J112:U112" si="22">SUM(J110:J111)</f>
        <v>941</v>
      </c>
      <c r="K112" s="27">
        <f t="shared" si="22"/>
        <v>0</v>
      </c>
      <c r="L112" s="27">
        <f t="shared" si="22"/>
        <v>0</v>
      </c>
      <c r="M112" s="27">
        <f t="shared" si="22"/>
        <v>0</v>
      </c>
      <c r="N112" s="27">
        <f t="shared" si="22"/>
        <v>748</v>
      </c>
      <c r="O112" s="27">
        <f t="shared" si="22"/>
        <v>0</v>
      </c>
      <c r="P112" s="27">
        <f t="shared" si="22"/>
        <v>0</v>
      </c>
      <c r="Q112" s="27">
        <f t="shared" si="22"/>
        <v>404</v>
      </c>
      <c r="R112" s="27">
        <f t="shared" si="22"/>
        <v>0</v>
      </c>
      <c r="S112" s="27">
        <f t="shared" si="22"/>
        <v>0</v>
      </c>
      <c r="T112" s="27">
        <f t="shared" si="22"/>
        <v>282</v>
      </c>
      <c r="U112" s="27">
        <f t="shared" si="22"/>
        <v>0</v>
      </c>
      <c r="V112" s="30"/>
      <c r="W112" s="42"/>
    </row>
    <row r="113" spans="1:23" x14ac:dyDescent="0.25">
      <c r="A113" s="190" t="s">
        <v>764</v>
      </c>
      <c r="B113" s="163">
        <v>2017</v>
      </c>
      <c r="C113" s="163" t="s">
        <v>765</v>
      </c>
      <c r="D113" s="163" t="s">
        <v>834</v>
      </c>
      <c r="E113" s="193" t="s">
        <v>951</v>
      </c>
      <c r="F113" s="29" t="s">
        <v>736</v>
      </c>
      <c r="G113" s="25">
        <v>4049</v>
      </c>
      <c r="H113" s="25">
        <v>5049</v>
      </c>
      <c r="I113" s="25">
        <f t="shared" si="12"/>
        <v>9098</v>
      </c>
      <c r="J113" s="34">
        <v>0</v>
      </c>
      <c r="K113" s="34">
        <v>0</v>
      </c>
      <c r="L113" s="34">
        <v>0</v>
      </c>
      <c r="M113" s="34">
        <v>0</v>
      </c>
      <c r="N113" s="25">
        <v>4049</v>
      </c>
      <c r="O113" s="34">
        <v>0</v>
      </c>
      <c r="P113" s="34">
        <v>0</v>
      </c>
      <c r="Q113" s="34">
        <v>0</v>
      </c>
      <c r="R113" s="34">
        <v>0</v>
      </c>
      <c r="S113" s="34">
        <v>0</v>
      </c>
      <c r="T113" s="25">
        <v>5049</v>
      </c>
      <c r="U113" s="34">
        <v>0</v>
      </c>
      <c r="V113" s="164" t="s">
        <v>11</v>
      </c>
      <c r="W113" s="43" t="s">
        <v>991</v>
      </c>
    </row>
    <row r="114" spans="1:23" x14ac:dyDescent="0.25">
      <c r="A114" s="190"/>
      <c r="B114" s="163"/>
      <c r="C114" s="163"/>
      <c r="D114" s="163"/>
      <c r="E114" s="163"/>
      <c r="F114" s="29" t="s">
        <v>766</v>
      </c>
      <c r="G114" s="25">
        <v>2156</v>
      </c>
      <c r="H114" s="25">
        <v>5085</v>
      </c>
      <c r="I114" s="25">
        <f t="shared" si="12"/>
        <v>7241</v>
      </c>
      <c r="J114" s="25">
        <v>2156</v>
      </c>
      <c r="K114" s="34">
        <v>0</v>
      </c>
      <c r="L114" s="34">
        <v>0</v>
      </c>
      <c r="M114" s="34">
        <v>0</v>
      </c>
      <c r="N114" s="34">
        <v>0</v>
      </c>
      <c r="O114" s="34">
        <v>0</v>
      </c>
      <c r="P114" s="25">
        <v>5085</v>
      </c>
      <c r="Q114" s="34">
        <v>0</v>
      </c>
      <c r="R114" s="34">
        <v>0</v>
      </c>
      <c r="S114" s="34">
        <v>0</v>
      </c>
      <c r="T114" s="34">
        <v>0</v>
      </c>
      <c r="U114" s="34">
        <v>0</v>
      </c>
      <c r="V114" s="164"/>
      <c r="W114" s="43" t="s">
        <v>992</v>
      </c>
    </row>
    <row r="115" spans="1:23" x14ac:dyDescent="0.25">
      <c r="A115" s="190"/>
      <c r="B115" s="163"/>
      <c r="C115" s="163"/>
      <c r="D115" s="163"/>
      <c r="E115" s="163"/>
      <c r="F115" s="29" t="s">
        <v>61</v>
      </c>
      <c r="G115" s="25">
        <v>7836</v>
      </c>
      <c r="H115" s="25">
        <v>11787</v>
      </c>
      <c r="I115" s="25">
        <f t="shared" si="12"/>
        <v>19623</v>
      </c>
      <c r="J115" s="34">
        <v>0</v>
      </c>
      <c r="K115" s="34">
        <v>0</v>
      </c>
      <c r="L115" s="34">
        <v>0</v>
      </c>
      <c r="M115" s="34">
        <v>0</v>
      </c>
      <c r="N115" s="25">
        <v>7836</v>
      </c>
      <c r="O115" s="34">
        <v>0</v>
      </c>
      <c r="P115" s="34">
        <v>0</v>
      </c>
      <c r="Q115" s="34">
        <v>0</v>
      </c>
      <c r="R115" s="34">
        <v>0</v>
      </c>
      <c r="S115" s="34">
        <v>0</v>
      </c>
      <c r="T115" s="25">
        <v>11787</v>
      </c>
      <c r="U115" s="34">
        <v>0</v>
      </c>
      <c r="V115" s="164"/>
      <c r="W115" s="43" t="s">
        <v>993</v>
      </c>
    </row>
    <row r="116" spans="1:23" x14ac:dyDescent="0.25">
      <c r="A116" s="190"/>
      <c r="B116" s="163"/>
      <c r="C116" s="163"/>
      <c r="D116" s="163"/>
      <c r="E116" s="163"/>
      <c r="F116" s="29" t="s">
        <v>761</v>
      </c>
      <c r="G116" s="25">
        <v>6652</v>
      </c>
      <c r="H116" s="25">
        <v>8345</v>
      </c>
      <c r="I116" s="25">
        <f t="shared" si="12"/>
        <v>14997</v>
      </c>
      <c r="J116" s="34">
        <v>0</v>
      </c>
      <c r="K116" s="34">
        <v>0</v>
      </c>
      <c r="L116" s="34">
        <v>0</v>
      </c>
      <c r="M116" s="34">
        <v>0</v>
      </c>
      <c r="N116" s="25">
        <v>6652</v>
      </c>
      <c r="O116" s="34">
        <v>0</v>
      </c>
      <c r="P116" s="34">
        <v>0</v>
      </c>
      <c r="Q116" s="34">
        <v>0</v>
      </c>
      <c r="R116" s="34">
        <v>0</v>
      </c>
      <c r="S116" s="34">
        <v>0</v>
      </c>
      <c r="T116" s="25">
        <v>8345</v>
      </c>
      <c r="U116" s="34">
        <v>0</v>
      </c>
      <c r="V116" s="164"/>
      <c r="W116" s="43" t="s">
        <v>994</v>
      </c>
    </row>
    <row r="117" spans="1:23" x14ac:dyDescent="0.25">
      <c r="A117" s="190"/>
      <c r="B117" s="163"/>
      <c r="C117" s="163"/>
      <c r="D117" s="163"/>
      <c r="E117" s="163"/>
      <c r="F117" s="26" t="s">
        <v>702</v>
      </c>
      <c r="G117" s="27">
        <f>SUM(G113:G116)</f>
        <v>20693</v>
      </c>
      <c r="H117" s="27">
        <f>SUM(H113:H116)</f>
        <v>30266</v>
      </c>
      <c r="I117" s="194">
        <f t="shared" si="12"/>
        <v>50959</v>
      </c>
      <c r="J117" s="27">
        <f t="shared" ref="J117:U117" si="23">SUM(J113:J116)</f>
        <v>2156</v>
      </c>
      <c r="K117" s="27">
        <f t="shared" si="23"/>
        <v>0</v>
      </c>
      <c r="L117" s="27">
        <f t="shared" si="23"/>
        <v>0</v>
      </c>
      <c r="M117" s="27">
        <f t="shared" si="23"/>
        <v>0</v>
      </c>
      <c r="N117" s="27">
        <f t="shared" si="23"/>
        <v>18537</v>
      </c>
      <c r="O117" s="27">
        <f t="shared" si="23"/>
        <v>0</v>
      </c>
      <c r="P117" s="27">
        <f t="shared" si="23"/>
        <v>5085</v>
      </c>
      <c r="Q117" s="27">
        <f t="shared" si="23"/>
        <v>0</v>
      </c>
      <c r="R117" s="27">
        <f t="shared" si="23"/>
        <v>0</v>
      </c>
      <c r="S117" s="27">
        <f t="shared" si="23"/>
        <v>0</v>
      </c>
      <c r="T117" s="27">
        <f t="shared" si="23"/>
        <v>25181</v>
      </c>
      <c r="U117" s="27">
        <f t="shared" si="23"/>
        <v>0</v>
      </c>
      <c r="V117" s="30"/>
      <c r="W117" s="39"/>
    </row>
    <row r="118" spans="1:23" x14ac:dyDescent="0.25">
      <c r="A118" s="192" t="s">
        <v>767</v>
      </c>
      <c r="B118" s="163">
        <v>2017</v>
      </c>
      <c r="C118" s="163" t="s">
        <v>768</v>
      </c>
      <c r="D118" s="163" t="s">
        <v>833</v>
      </c>
      <c r="E118" s="193" t="s">
        <v>952</v>
      </c>
      <c r="F118" s="28" t="s">
        <v>761</v>
      </c>
      <c r="G118" s="25">
        <v>1825</v>
      </c>
      <c r="H118" s="25">
        <v>3784</v>
      </c>
      <c r="I118" s="25">
        <f t="shared" si="12"/>
        <v>5609</v>
      </c>
      <c r="J118" s="34">
        <v>0</v>
      </c>
      <c r="K118" s="34">
        <v>0</v>
      </c>
      <c r="L118" s="34">
        <v>0</v>
      </c>
      <c r="M118" s="34">
        <v>0</v>
      </c>
      <c r="N118" s="25">
        <v>1825</v>
      </c>
      <c r="O118" s="34">
        <v>0</v>
      </c>
      <c r="P118" s="34">
        <v>0</v>
      </c>
      <c r="Q118" s="34">
        <v>0</v>
      </c>
      <c r="R118" s="34">
        <v>0</v>
      </c>
      <c r="S118" s="34">
        <v>0</v>
      </c>
      <c r="T118" s="25">
        <v>3784</v>
      </c>
      <c r="U118" s="34">
        <v>0</v>
      </c>
      <c r="V118" s="45" t="s">
        <v>11</v>
      </c>
      <c r="W118" s="43" t="s">
        <v>973</v>
      </c>
    </row>
    <row r="119" spans="1:23" x14ac:dyDescent="0.25">
      <c r="A119" s="192"/>
      <c r="B119" s="163"/>
      <c r="C119" s="163"/>
      <c r="D119" s="163"/>
      <c r="E119" s="163"/>
      <c r="F119" s="26" t="s">
        <v>702</v>
      </c>
      <c r="G119" s="27">
        <f>SUM(G118)</f>
        <v>1825</v>
      </c>
      <c r="H119" s="27">
        <f>SUM(H118)</f>
        <v>3784</v>
      </c>
      <c r="I119" s="194">
        <f t="shared" si="12"/>
        <v>5609</v>
      </c>
      <c r="J119" s="27">
        <f t="shared" ref="J119:U119" si="24">SUM(J118)</f>
        <v>0</v>
      </c>
      <c r="K119" s="27">
        <f t="shared" si="24"/>
        <v>0</v>
      </c>
      <c r="L119" s="27">
        <f t="shared" si="24"/>
        <v>0</v>
      </c>
      <c r="M119" s="27">
        <f t="shared" si="24"/>
        <v>0</v>
      </c>
      <c r="N119" s="27">
        <f t="shared" si="24"/>
        <v>1825</v>
      </c>
      <c r="O119" s="27">
        <f t="shared" si="24"/>
        <v>0</v>
      </c>
      <c r="P119" s="27">
        <f t="shared" si="24"/>
        <v>0</v>
      </c>
      <c r="Q119" s="27">
        <f t="shared" si="24"/>
        <v>0</v>
      </c>
      <c r="R119" s="27">
        <f t="shared" si="24"/>
        <v>0</v>
      </c>
      <c r="S119" s="27">
        <f t="shared" si="24"/>
        <v>0</v>
      </c>
      <c r="T119" s="27">
        <f t="shared" si="24"/>
        <v>3784</v>
      </c>
      <c r="U119" s="27">
        <f t="shared" si="24"/>
        <v>0</v>
      </c>
      <c r="V119" s="30"/>
      <c r="W119" s="39"/>
    </row>
    <row r="120" spans="1:23" x14ac:dyDescent="0.25">
      <c r="A120" s="192" t="s">
        <v>769</v>
      </c>
      <c r="B120" s="163">
        <v>2018</v>
      </c>
      <c r="C120" s="163" t="s">
        <v>770</v>
      </c>
      <c r="D120" s="163" t="s">
        <v>832</v>
      </c>
      <c r="E120" s="193" t="s">
        <v>953</v>
      </c>
      <c r="F120" s="196" t="s">
        <v>61</v>
      </c>
      <c r="G120" s="25">
        <f>788+1455</f>
        <v>2243</v>
      </c>
      <c r="H120" s="25">
        <f>(3150-788)+(5110-1455)</f>
        <v>6017</v>
      </c>
      <c r="I120" s="25">
        <f t="shared" si="12"/>
        <v>8260</v>
      </c>
      <c r="J120" s="34">
        <v>0</v>
      </c>
      <c r="K120" s="34">
        <v>0</v>
      </c>
      <c r="L120" s="34">
        <v>0</v>
      </c>
      <c r="M120" s="34">
        <v>0</v>
      </c>
      <c r="N120" s="25">
        <f>788+1455</f>
        <v>2243</v>
      </c>
      <c r="O120" s="34">
        <v>0</v>
      </c>
      <c r="P120" s="34">
        <v>0</v>
      </c>
      <c r="Q120" s="34">
        <v>0</v>
      </c>
      <c r="R120" s="34">
        <v>0</v>
      </c>
      <c r="S120" s="34">
        <v>0</v>
      </c>
      <c r="T120" s="25">
        <f>(3150-788)+(5110-1455)</f>
        <v>6017</v>
      </c>
      <c r="U120" s="34">
        <v>0</v>
      </c>
      <c r="V120" s="45" t="s">
        <v>11</v>
      </c>
      <c r="W120" s="43" t="s">
        <v>963</v>
      </c>
    </row>
    <row r="121" spans="1:23" x14ac:dyDescent="0.25">
      <c r="A121" s="192"/>
      <c r="B121" s="163"/>
      <c r="C121" s="163"/>
      <c r="D121" s="163"/>
      <c r="E121" s="163"/>
      <c r="F121" s="26" t="s">
        <v>702</v>
      </c>
      <c r="G121" s="27">
        <f>SUM(G120)</f>
        <v>2243</v>
      </c>
      <c r="H121" s="27">
        <f>SUM(H120)</f>
        <v>6017</v>
      </c>
      <c r="I121" s="194">
        <f t="shared" si="12"/>
        <v>8260</v>
      </c>
      <c r="J121" s="27">
        <f t="shared" ref="J121:U121" si="25">SUM(J120)</f>
        <v>0</v>
      </c>
      <c r="K121" s="27">
        <f t="shared" si="25"/>
        <v>0</v>
      </c>
      <c r="L121" s="27">
        <f t="shared" si="25"/>
        <v>0</v>
      </c>
      <c r="M121" s="27">
        <f t="shared" si="25"/>
        <v>0</v>
      </c>
      <c r="N121" s="27">
        <f t="shared" si="25"/>
        <v>2243</v>
      </c>
      <c r="O121" s="27">
        <f t="shared" si="25"/>
        <v>0</v>
      </c>
      <c r="P121" s="27">
        <f t="shared" si="25"/>
        <v>0</v>
      </c>
      <c r="Q121" s="27">
        <f t="shared" si="25"/>
        <v>0</v>
      </c>
      <c r="R121" s="27">
        <f t="shared" si="25"/>
        <v>0</v>
      </c>
      <c r="S121" s="27">
        <f t="shared" si="25"/>
        <v>0</v>
      </c>
      <c r="T121" s="27">
        <f t="shared" si="25"/>
        <v>6017</v>
      </c>
      <c r="U121" s="27">
        <f t="shared" si="25"/>
        <v>0</v>
      </c>
      <c r="V121" s="30"/>
      <c r="W121" s="39"/>
    </row>
    <row r="122" spans="1:23" x14ac:dyDescent="0.25">
      <c r="A122" s="191" t="s">
        <v>771</v>
      </c>
      <c r="B122" s="164">
        <v>2018</v>
      </c>
      <c r="C122" s="163" t="s">
        <v>772</v>
      </c>
      <c r="D122" s="163" t="s">
        <v>831</v>
      </c>
      <c r="E122" s="193" t="s">
        <v>954</v>
      </c>
      <c r="F122" s="28" t="s">
        <v>773</v>
      </c>
      <c r="G122" s="25">
        <f>27696+14338</f>
        <v>42034</v>
      </c>
      <c r="H122" s="25">
        <f>260980+245941</f>
        <v>506921</v>
      </c>
      <c r="I122" s="25">
        <f t="shared" si="12"/>
        <v>548955</v>
      </c>
      <c r="J122" s="34">
        <v>0</v>
      </c>
      <c r="K122" s="34">
        <v>0</v>
      </c>
      <c r="L122" s="34">
        <v>0</v>
      </c>
      <c r="M122" s="34">
        <v>0</v>
      </c>
      <c r="N122" s="25">
        <f>27696+14338</f>
        <v>42034</v>
      </c>
      <c r="O122" s="34">
        <v>0</v>
      </c>
      <c r="P122" s="34">
        <v>0</v>
      </c>
      <c r="Q122" s="34">
        <v>0</v>
      </c>
      <c r="R122" s="34">
        <v>0</v>
      </c>
      <c r="S122" s="34">
        <v>0</v>
      </c>
      <c r="T122" s="34">
        <v>0</v>
      </c>
      <c r="U122" s="25">
        <f>260980+245941</f>
        <v>506921</v>
      </c>
      <c r="V122" s="45" t="s">
        <v>11</v>
      </c>
      <c r="W122" s="43" t="s">
        <v>995</v>
      </c>
    </row>
    <row r="123" spans="1:23" x14ac:dyDescent="0.25">
      <c r="A123" s="191"/>
      <c r="B123" s="164"/>
      <c r="C123" s="163"/>
      <c r="D123" s="163"/>
      <c r="E123" s="163"/>
      <c r="F123" s="26" t="s">
        <v>702</v>
      </c>
      <c r="G123" s="27">
        <f>SUM(G122)</f>
        <v>42034</v>
      </c>
      <c r="H123" s="27">
        <f>SUM(H122)</f>
        <v>506921</v>
      </c>
      <c r="I123" s="194">
        <f t="shared" si="12"/>
        <v>548955</v>
      </c>
      <c r="J123" s="27">
        <f t="shared" ref="J123:U123" si="26">SUM(J122)</f>
        <v>0</v>
      </c>
      <c r="K123" s="27">
        <f t="shared" si="26"/>
        <v>0</v>
      </c>
      <c r="L123" s="27">
        <f t="shared" si="26"/>
        <v>0</v>
      </c>
      <c r="M123" s="27">
        <f t="shared" si="26"/>
        <v>0</v>
      </c>
      <c r="N123" s="27">
        <f t="shared" si="26"/>
        <v>42034</v>
      </c>
      <c r="O123" s="27">
        <f t="shared" si="26"/>
        <v>0</v>
      </c>
      <c r="P123" s="27">
        <f t="shared" si="26"/>
        <v>0</v>
      </c>
      <c r="Q123" s="27">
        <f t="shared" si="26"/>
        <v>0</v>
      </c>
      <c r="R123" s="27">
        <f t="shared" si="26"/>
        <v>0</v>
      </c>
      <c r="S123" s="27">
        <f t="shared" si="26"/>
        <v>0</v>
      </c>
      <c r="T123" s="27">
        <f t="shared" si="26"/>
        <v>0</v>
      </c>
      <c r="U123" s="27">
        <f t="shared" si="26"/>
        <v>506921</v>
      </c>
      <c r="V123" s="30"/>
      <c r="W123" s="39"/>
    </row>
    <row r="124" spans="1:23" x14ac:dyDescent="0.25">
      <c r="A124" s="190" t="s">
        <v>774</v>
      </c>
      <c r="B124" s="163">
        <v>2019</v>
      </c>
      <c r="C124" s="163" t="s">
        <v>775</v>
      </c>
      <c r="D124" s="163" t="s">
        <v>830</v>
      </c>
      <c r="E124" s="193" t="s">
        <v>955</v>
      </c>
      <c r="F124" s="28" t="s">
        <v>776</v>
      </c>
      <c r="G124" s="25">
        <v>2066</v>
      </c>
      <c r="H124" s="25">
        <v>7637</v>
      </c>
      <c r="I124" s="25">
        <f t="shared" si="12"/>
        <v>9703</v>
      </c>
      <c r="J124" s="34">
        <v>0</v>
      </c>
      <c r="K124" s="34">
        <v>0</v>
      </c>
      <c r="L124" s="34">
        <v>0</v>
      </c>
      <c r="M124" s="34">
        <v>0</v>
      </c>
      <c r="N124" s="25">
        <v>2066</v>
      </c>
      <c r="O124" s="34">
        <v>0</v>
      </c>
      <c r="P124" s="34">
        <v>0</v>
      </c>
      <c r="Q124" s="34">
        <v>0</v>
      </c>
      <c r="R124" s="34">
        <v>0</v>
      </c>
      <c r="S124" s="34">
        <v>0</v>
      </c>
      <c r="T124" s="25">
        <v>7637</v>
      </c>
      <c r="U124" s="34">
        <v>0</v>
      </c>
      <c r="V124" s="164" t="s">
        <v>911</v>
      </c>
      <c r="W124" s="43" t="s">
        <v>996</v>
      </c>
    </row>
    <row r="125" spans="1:23" x14ac:dyDescent="0.25">
      <c r="A125" s="190"/>
      <c r="B125" s="163"/>
      <c r="C125" s="163"/>
      <c r="D125" s="163"/>
      <c r="E125" s="163"/>
      <c r="F125" s="28" t="s">
        <v>67</v>
      </c>
      <c r="G125" s="25">
        <v>348</v>
      </c>
      <c r="H125" s="25">
        <v>799</v>
      </c>
      <c r="I125" s="25">
        <f t="shared" si="12"/>
        <v>1147</v>
      </c>
      <c r="J125" s="34">
        <v>0</v>
      </c>
      <c r="K125" s="34">
        <v>0</v>
      </c>
      <c r="L125" s="34">
        <v>0</v>
      </c>
      <c r="M125" s="34">
        <v>0</v>
      </c>
      <c r="N125" s="25">
        <v>348</v>
      </c>
      <c r="O125" s="34">
        <v>0</v>
      </c>
      <c r="P125" s="34">
        <v>0</v>
      </c>
      <c r="Q125" s="34">
        <v>0</v>
      </c>
      <c r="R125" s="34">
        <v>0</v>
      </c>
      <c r="S125" s="34">
        <v>0</v>
      </c>
      <c r="T125" s="25">
        <v>799</v>
      </c>
      <c r="U125" s="34">
        <v>0</v>
      </c>
      <c r="V125" s="164"/>
      <c r="W125" s="43" t="s">
        <v>956</v>
      </c>
    </row>
    <row r="126" spans="1:23" x14ac:dyDescent="0.25">
      <c r="A126" s="190"/>
      <c r="B126" s="163"/>
      <c r="C126" s="163"/>
      <c r="D126" s="163"/>
      <c r="E126" s="163"/>
      <c r="F126" s="28" t="s">
        <v>69</v>
      </c>
      <c r="G126" s="25">
        <v>322</v>
      </c>
      <c r="H126" s="25">
        <v>6325</v>
      </c>
      <c r="I126" s="25">
        <f t="shared" si="12"/>
        <v>6647</v>
      </c>
      <c r="J126" s="34">
        <v>0</v>
      </c>
      <c r="K126" s="34">
        <v>0</v>
      </c>
      <c r="L126" s="34">
        <v>0</v>
      </c>
      <c r="M126" s="34">
        <v>0</v>
      </c>
      <c r="N126" s="25">
        <v>322</v>
      </c>
      <c r="O126" s="34">
        <v>0</v>
      </c>
      <c r="P126" s="34">
        <v>0</v>
      </c>
      <c r="Q126" s="34">
        <v>0</v>
      </c>
      <c r="R126" s="34">
        <v>0</v>
      </c>
      <c r="S126" s="34">
        <v>0</v>
      </c>
      <c r="T126" s="25">
        <v>6325</v>
      </c>
      <c r="U126" s="34">
        <v>0</v>
      </c>
      <c r="V126" s="164"/>
      <c r="W126" s="43" t="s">
        <v>968</v>
      </c>
    </row>
    <row r="127" spans="1:23" x14ac:dyDescent="0.25">
      <c r="A127" s="190"/>
      <c r="B127" s="163"/>
      <c r="C127" s="163"/>
      <c r="D127" s="163"/>
      <c r="E127" s="163"/>
      <c r="F127" s="28" t="s">
        <v>777</v>
      </c>
      <c r="G127" s="25">
        <v>17008</v>
      </c>
      <c r="H127" s="25">
        <v>37154</v>
      </c>
      <c r="I127" s="25">
        <f t="shared" si="12"/>
        <v>54162</v>
      </c>
      <c r="J127" s="34">
        <v>0</v>
      </c>
      <c r="K127" s="34">
        <v>0</v>
      </c>
      <c r="L127" s="34">
        <v>0</v>
      </c>
      <c r="M127" s="34">
        <v>0</v>
      </c>
      <c r="N127" s="25">
        <v>17008</v>
      </c>
      <c r="O127" s="34">
        <v>0</v>
      </c>
      <c r="P127" s="34">
        <v>0</v>
      </c>
      <c r="Q127" s="34">
        <v>0</v>
      </c>
      <c r="R127" s="34">
        <v>0</v>
      </c>
      <c r="S127" s="34">
        <v>0</v>
      </c>
      <c r="T127" s="25">
        <v>37154</v>
      </c>
      <c r="U127" s="34">
        <v>0</v>
      </c>
      <c r="V127" s="164"/>
      <c r="W127" s="43" t="s">
        <v>20</v>
      </c>
    </row>
    <row r="128" spans="1:23" x14ac:dyDescent="0.25">
      <c r="A128" s="190"/>
      <c r="B128" s="163"/>
      <c r="C128" s="163"/>
      <c r="D128" s="163"/>
      <c r="E128" s="163"/>
      <c r="F128" s="28" t="s">
        <v>778</v>
      </c>
      <c r="G128" s="25">
        <v>4343</v>
      </c>
      <c r="H128" s="25">
        <v>3163</v>
      </c>
      <c r="I128" s="25">
        <f t="shared" si="12"/>
        <v>7506</v>
      </c>
      <c r="J128" s="34">
        <v>0</v>
      </c>
      <c r="K128" s="34">
        <v>0</v>
      </c>
      <c r="L128" s="34">
        <v>0</v>
      </c>
      <c r="M128" s="34">
        <v>0</v>
      </c>
      <c r="N128" s="25">
        <v>4343</v>
      </c>
      <c r="O128" s="34">
        <v>0</v>
      </c>
      <c r="P128" s="34">
        <v>0</v>
      </c>
      <c r="Q128" s="34">
        <v>0</v>
      </c>
      <c r="R128" s="34">
        <v>0</v>
      </c>
      <c r="S128" s="34">
        <v>0</v>
      </c>
      <c r="T128" s="25">
        <v>3163</v>
      </c>
      <c r="U128" s="34">
        <v>0</v>
      </c>
      <c r="V128" s="164"/>
      <c r="W128" s="43" t="s">
        <v>20</v>
      </c>
    </row>
    <row r="129" spans="1:23" x14ac:dyDescent="0.25">
      <c r="A129" s="190"/>
      <c r="B129" s="163"/>
      <c r="C129" s="163"/>
      <c r="D129" s="163"/>
      <c r="E129" s="163"/>
      <c r="F129" s="28" t="s">
        <v>773</v>
      </c>
      <c r="G129" s="25">
        <v>47793</v>
      </c>
      <c r="H129" s="25">
        <v>328320</v>
      </c>
      <c r="I129" s="25">
        <f t="shared" si="12"/>
        <v>376113</v>
      </c>
      <c r="J129" s="34">
        <v>0</v>
      </c>
      <c r="K129" s="34">
        <v>0</v>
      </c>
      <c r="L129" s="34">
        <v>0</v>
      </c>
      <c r="M129" s="34">
        <v>0</v>
      </c>
      <c r="N129" s="25">
        <v>47793</v>
      </c>
      <c r="O129" s="34">
        <v>0</v>
      </c>
      <c r="P129" s="34">
        <v>0</v>
      </c>
      <c r="Q129" s="34">
        <v>0</v>
      </c>
      <c r="R129" s="34">
        <v>0</v>
      </c>
      <c r="S129" s="34">
        <v>0</v>
      </c>
      <c r="T129" s="25">
        <v>0</v>
      </c>
      <c r="U129" s="25">
        <v>328320</v>
      </c>
      <c r="V129" s="164"/>
      <c r="W129" s="43" t="s">
        <v>995</v>
      </c>
    </row>
    <row r="130" spans="1:23" x14ac:dyDescent="0.25">
      <c r="A130" s="190"/>
      <c r="B130" s="163"/>
      <c r="C130" s="163"/>
      <c r="D130" s="163"/>
      <c r="E130" s="163"/>
      <c r="F130" s="26" t="s">
        <v>702</v>
      </c>
      <c r="G130" s="27">
        <f>SUM(G124:G129)</f>
        <v>71880</v>
      </c>
      <c r="H130" s="27">
        <f>SUM(H124:H129)</f>
        <v>383398</v>
      </c>
      <c r="I130" s="194">
        <f t="shared" si="12"/>
        <v>455278</v>
      </c>
      <c r="J130" s="27">
        <f t="shared" ref="J130:U130" si="27">SUM(J124:J129)</f>
        <v>0</v>
      </c>
      <c r="K130" s="27">
        <f t="shared" si="27"/>
        <v>0</v>
      </c>
      <c r="L130" s="27">
        <f t="shared" si="27"/>
        <v>0</v>
      </c>
      <c r="M130" s="27">
        <f t="shared" si="27"/>
        <v>0</v>
      </c>
      <c r="N130" s="27">
        <f t="shared" si="27"/>
        <v>71880</v>
      </c>
      <c r="O130" s="27">
        <f t="shared" si="27"/>
        <v>0</v>
      </c>
      <c r="P130" s="27">
        <f t="shared" si="27"/>
        <v>0</v>
      </c>
      <c r="Q130" s="27">
        <f t="shared" si="27"/>
        <v>0</v>
      </c>
      <c r="R130" s="27">
        <f t="shared" si="27"/>
        <v>0</v>
      </c>
      <c r="S130" s="27">
        <f t="shared" si="27"/>
        <v>0</v>
      </c>
      <c r="T130" s="27">
        <f t="shared" si="27"/>
        <v>55078</v>
      </c>
      <c r="U130" s="27">
        <f t="shared" si="27"/>
        <v>328320</v>
      </c>
      <c r="V130" s="30"/>
      <c r="W130" s="39"/>
    </row>
    <row r="131" spans="1:23" x14ac:dyDescent="0.25">
      <c r="A131" s="190" t="s">
        <v>779</v>
      </c>
      <c r="B131" s="163">
        <v>2019</v>
      </c>
      <c r="C131" s="163" t="s">
        <v>780</v>
      </c>
      <c r="D131" s="163" t="s">
        <v>829</v>
      </c>
      <c r="E131" s="193" t="s">
        <v>957</v>
      </c>
      <c r="F131" s="28" t="s">
        <v>39</v>
      </c>
      <c r="G131" s="25">
        <v>6331</v>
      </c>
      <c r="H131" s="25">
        <v>6055</v>
      </c>
      <c r="I131" s="25">
        <f t="shared" si="12"/>
        <v>12386</v>
      </c>
      <c r="J131" s="34">
        <v>0</v>
      </c>
      <c r="K131" s="34">
        <v>0</v>
      </c>
      <c r="L131" s="34">
        <v>0</v>
      </c>
      <c r="M131" s="34">
        <v>0</v>
      </c>
      <c r="N131" s="25">
        <v>6331</v>
      </c>
      <c r="O131" s="34">
        <v>0</v>
      </c>
      <c r="P131" s="34">
        <v>0</v>
      </c>
      <c r="Q131" s="34">
        <v>0</v>
      </c>
      <c r="R131" s="34">
        <v>0</v>
      </c>
      <c r="S131" s="34">
        <v>0</v>
      </c>
      <c r="T131" s="25">
        <v>6055</v>
      </c>
      <c r="U131" s="34">
        <v>0</v>
      </c>
      <c r="V131" s="164" t="s">
        <v>11</v>
      </c>
      <c r="W131" s="43" t="s">
        <v>997</v>
      </c>
    </row>
    <row r="132" spans="1:23" x14ac:dyDescent="0.25">
      <c r="A132" s="190"/>
      <c r="B132" s="163"/>
      <c r="C132" s="163"/>
      <c r="D132" s="163"/>
      <c r="E132" s="163"/>
      <c r="F132" s="28" t="s">
        <v>777</v>
      </c>
      <c r="G132" s="25">
        <v>21982</v>
      </c>
      <c r="H132" s="25">
        <v>41944</v>
      </c>
      <c r="I132" s="25">
        <f t="shared" si="12"/>
        <v>63926</v>
      </c>
      <c r="J132" s="34">
        <v>0</v>
      </c>
      <c r="K132" s="34">
        <v>0</v>
      </c>
      <c r="L132" s="34">
        <v>0</v>
      </c>
      <c r="M132" s="34">
        <v>0</v>
      </c>
      <c r="N132" s="25">
        <v>21982</v>
      </c>
      <c r="O132" s="34">
        <v>0</v>
      </c>
      <c r="P132" s="34">
        <v>0</v>
      </c>
      <c r="Q132" s="34">
        <v>0</v>
      </c>
      <c r="R132" s="34">
        <v>0</v>
      </c>
      <c r="S132" s="34">
        <v>0</v>
      </c>
      <c r="T132" s="25">
        <v>41944</v>
      </c>
      <c r="U132" s="34">
        <v>0</v>
      </c>
      <c r="V132" s="164"/>
      <c r="W132" s="43" t="s">
        <v>998</v>
      </c>
    </row>
    <row r="133" spans="1:23" x14ac:dyDescent="0.25">
      <c r="A133" s="190"/>
      <c r="B133" s="163"/>
      <c r="C133" s="163"/>
      <c r="D133" s="163"/>
      <c r="E133" s="163"/>
      <c r="F133" s="28" t="s">
        <v>773</v>
      </c>
      <c r="G133" s="25">
        <v>42034</v>
      </c>
      <c r="H133" s="25">
        <v>506921</v>
      </c>
      <c r="I133" s="25">
        <f t="shared" si="12"/>
        <v>548955</v>
      </c>
      <c r="J133" s="34">
        <v>0</v>
      </c>
      <c r="K133" s="34">
        <v>0</v>
      </c>
      <c r="L133" s="34">
        <v>0</v>
      </c>
      <c r="M133" s="34">
        <v>0</v>
      </c>
      <c r="N133" s="25">
        <v>42034</v>
      </c>
      <c r="O133" s="34">
        <v>0</v>
      </c>
      <c r="P133" s="34">
        <v>0</v>
      </c>
      <c r="Q133" s="34">
        <v>0</v>
      </c>
      <c r="R133" s="34">
        <v>0</v>
      </c>
      <c r="S133" s="34">
        <v>0</v>
      </c>
      <c r="T133" s="25">
        <v>0</v>
      </c>
      <c r="U133" s="25">
        <v>506921</v>
      </c>
      <c r="V133" s="164"/>
      <c r="W133" s="43" t="s">
        <v>983</v>
      </c>
    </row>
    <row r="134" spans="1:23" x14ac:dyDescent="0.25">
      <c r="A134" s="190"/>
      <c r="B134" s="163"/>
      <c r="C134" s="163"/>
      <c r="D134" s="163"/>
      <c r="E134" s="163"/>
      <c r="F134" s="26" t="s">
        <v>702</v>
      </c>
      <c r="G134" s="27">
        <f>SUM(G131:G133)</f>
        <v>70347</v>
      </c>
      <c r="H134" s="27">
        <f>SUM(H131:H133)</f>
        <v>554920</v>
      </c>
      <c r="I134" s="194">
        <f t="shared" si="12"/>
        <v>625267</v>
      </c>
      <c r="J134" s="27">
        <f t="shared" ref="J134:U134" si="28">SUM(J131:J133)</f>
        <v>0</v>
      </c>
      <c r="K134" s="27">
        <f t="shared" si="28"/>
        <v>0</v>
      </c>
      <c r="L134" s="27">
        <f t="shared" si="28"/>
        <v>0</v>
      </c>
      <c r="M134" s="27">
        <f t="shared" si="28"/>
        <v>0</v>
      </c>
      <c r="N134" s="27">
        <f t="shared" si="28"/>
        <v>70347</v>
      </c>
      <c r="O134" s="27">
        <f t="shared" si="28"/>
        <v>0</v>
      </c>
      <c r="P134" s="27">
        <f t="shared" si="28"/>
        <v>0</v>
      </c>
      <c r="Q134" s="27">
        <f t="shared" si="28"/>
        <v>0</v>
      </c>
      <c r="R134" s="27">
        <f t="shared" si="28"/>
        <v>0</v>
      </c>
      <c r="S134" s="27">
        <f t="shared" si="28"/>
        <v>0</v>
      </c>
      <c r="T134" s="27">
        <f t="shared" si="28"/>
        <v>47999</v>
      </c>
      <c r="U134" s="27">
        <f t="shared" si="28"/>
        <v>506921</v>
      </c>
      <c r="V134" s="30"/>
      <c r="W134" s="39"/>
    </row>
    <row r="135" spans="1:23" x14ac:dyDescent="0.25">
      <c r="A135" s="190" t="s">
        <v>781</v>
      </c>
      <c r="B135" s="163">
        <v>2019</v>
      </c>
      <c r="C135" s="163" t="s">
        <v>782</v>
      </c>
      <c r="D135" s="163" t="s">
        <v>828</v>
      </c>
      <c r="E135" s="193" t="s">
        <v>958</v>
      </c>
      <c r="F135" s="28" t="s">
        <v>735</v>
      </c>
      <c r="G135" s="25">
        <f>2349+913+2276+894</f>
        <v>6432</v>
      </c>
      <c r="H135" s="25">
        <f>542+744+668+586</f>
        <v>2540</v>
      </c>
      <c r="I135" s="25">
        <f t="shared" ref="I135:I198" si="29">SUM(G135:H135)</f>
        <v>8972</v>
      </c>
      <c r="J135" s="34">
        <v>0</v>
      </c>
      <c r="K135" s="25">
        <v>4627</v>
      </c>
      <c r="L135" s="34">
        <v>0</v>
      </c>
      <c r="M135" s="34">
        <v>0</v>
      </c>
      <c r="N135" s="25">
        <v>1805</v>
      </c>
      <c r="O135" s="34">
        <v>0</v>
      </c>
      <c r="P135" s="34">
        <v>0</v>
      </c>
      <c r="Q135" s="25">
        <v>517</v>
      </c>
      <c r="R135" s="34">
        <v>0</v>
      </c>
      <c r="S135" s="34">
        <v>0</v>
      </c>
      <c r="T135" s="25">
        <v>2023</v>
      </c>
      <c r="U135" s="34">
        <v>0</v>
      </c>
      <c r="V135" s="164" t="s">
        <v>11</v>
      </c>
      <c r="W135" s="43" t="s">
        <v>977</v>
      </c>
    </row>
    <row r="136" spans="1:23" x14ac:dyDescent="0.25">
      <c r="A136" s="190"/>
      <c r="B136" s="163"/>
      <c r="C136" s="163"/>
      <c r="D136" s="163"/>
      <c r="E136" s="163"/>
      <c r="F136" s="28" t="s">
        <v>145</v>
      </c>
      <c r="G136" s="25">
        <v>532</v>
      </c>
      <c r="H136" s="25">
        <v>1512</v>
      </c>
      <c r="I136" s="25">
        <f t="shared" si="29"/>
        <v>2044</v>
      </c>
      <c r="J136" s="34">
        <v>0</v>
      </c>
      <c r="K136" s="25">
        <v>70</v>
      </c>
      <c r="L136" s="34">
        <v>0</v>
      </c>
      <c r="M136" s="34">
        <v>0</v>
      </c>
      <c r="N136" s="25">
        <v>462</v>
      </c>
      <c r="O136" s="34">
        <v>0</v>
      </c>
      <c r="P136" s="34">
        <v>0</v>
      </c>
      <c r="Q136" s="25">
        <v>155</v>
      </c>
      <c r="R136" s="34">
        <v>0</v>
      </c>
      <c r="S136" s="34">
        <v>0</v>
      </c>
      <c r="T136" s="25">
        <v>1357</v>
      </c>
      <c r="U136" s="34">
        <v>0</v>
      </c>
      <c r="V136" s="164"/>
      <c r="W136" s="43" t="s">
        <v>978</v>
      </c>
    </row>
    <row r="137" spans="1:23" x14ac:dyDescent="0.25">
      <c r="A137" s="190"/>
      <c r="B137" s="163"/>
      <c r="C137" s="163"/>
      <c r="D137" s="163"/>
      <c r="E137" s="163"/>
      <c r="F137" s="28" t="s">
        <v>156</v>
      </c>
      <c r="G137" s="25">
        <v>268</v>
      </c>
      <c r="H137" s="25">
        <v>173</v>
      </c>
      <c r="I137" s="25">
        <f t="shared" si="29"/>
        <v>441</v>
      </c>
      <c r="J137" s="25">
        <v>268</v>
      </c>
      <c r="K137" s="34">
        <v>0</v>
      </c>
      <c r="L137" s="34">
        <v>0</v>
      </c>
      <c r="M137" s="34">
        <v>0</v>
      </c>
      <c r="N137" s="34">
        <v>0</v>
      </c>
      <c r="O137" s="34">
        <v>0</v>
      </c>
      <c r="P137" s="25">
        <v>173</v>
      </c>
      <c r="Q137" s="25">
        <v>0</v>
      </c>
      <c r="R137" s="34">
        <v>0</v>
      </c>
      <c r="S137" s="34">
        <v>0</v>
      </c>
      <c r="T137" s="34">
        <v>0</v>
      </c>
      <c r="U137" s="34">
        <v>0</v>
      </c>
      <c r="V137" s="164"/>
      <c r="W137" s="43" t="s">
        <v>963</v>
      </c>
    </row>
    <row r="138" spans="1:23" x14ac:dyDescent="0.25">
      <c r="A138" s="190"/>
      <c r="B138" s="163"/>
      <c r="C138" s="163"/>
      <c r="D138" s="163"/>
      <c r="E138" s="163"/>
      <c r="F138" s="28" t="s">
        <v>71</v>
      </c>
      <c r="G138" s="25">
        <v>6</v>
      </c>
      <c r="H138" s="25">
        <v>112</v>
      </c>
      <c r="I138" s="25">
        <f t="shared" si="29"/>
        <v>118</v>
      </c>
      <c r="J138" s="25">
        <v>6</v>
      </c>
      <c r="K138" s="34">
        <v>0</v>
      </c>
      <c r="L138" s="34">
        <v>0</v>
      </c>
      <c r="M138" s="34">
        <v>0</v>
      </c>
      <c r="N138" s="34">
        <v>0</v>
      </c>
      <c r="O138" s="34">
        <v>0</v>
      </c>
      <c r="P138" s="25">
        <v>112</v>
      </c>
      <c r="Q138" s="25">
        <v>0</v>
      </c>
      <c r="R138" s="34">
        <v>0</v>
      </c>
      <c r="S138" s="34">
        <v>0</v>
      </c>
      <c r="T138" s="34">
        <v>0</v>
      </c>
      <c r="U138" s="34">
        <v>0</v>
      </c>
      <c r="V138" s="164"/>
      <c r="W138" s="43" t="s">
        <v>968</v>
      </c>
    </row>
    <row r="139" spans="1:23" x14ac:dyDescent="0.25">
      <c r="A139" s="190"/>
      <c r="B139" s="163"/>
      <c r="C139" s="163"/>
      <c r="D139" s="163"/>
      <c r="E139" s="163"/>
      <c r="F139" s="28" t="s">
        <v>132</v>
      </c>
      <c r="G139" s="25">
        <v>27</v>
      </c>
      <c r="H139" s="25">
        <v>144</v>
      </c>
      <c r="I139" s="25">
        <f t="shared" si="29"/>
        <v>171</v>
      </c>
      <c r="J139" s="34">
        <v>0</v>
      </c>
      <c r="K139" s="34">
        <v>0</v>
      </c>
      <c r="L139" s="34">
        <v>0</v>
      </c>
      <c r="M139" s="34">
        <v>0</v>
      </c>
      <c r="N139" s="25">
        <v>27</v>
      </c>
      <c r="O139" s="34">
        <v>0</v>
      </c>
      <c r="P139" s="25">
        <v>0</v>
      </c>
      <c r="Q139" s="25">
        <v>0</v>
      </c>
      <c r="R139" s="34">
        <v>0</v>
      </c>
      <c r="S139" s="34">
        <v>0</v>
      </c>
      <c r="T139" s="25">
        <v>144</v>
      </c>
      <c r="U139" s="34">
        <v>0</v>
      </c>
      <c r="V139" s="164"/>
      <c r="W139" s="43" t="s">
        <v>968</v>
      </c>
    </row>
    <row r="140" spans="1:23" x14ac:dyDescent="0.25">
      <c r="A140" s="190"/>
      <c r="B140" s="163"/>
      <c r="C140" s="163"/>
      <c r="D140" s="163"/>
      <c r="E140" s="163"/>
      <c r="F140" s="28" t="s">
        <v>72</v>
      </c>
      <c r="G140" s="25">
        <v>9</v>
      </c>
      <c r="H140" s="25">
        <v>141</v>
      </c>
      <c r="I140" s="25">
        <f t="shared" si="29"/>
        <v>150</v>
      </c>
      <c r="J140" s="34">
        <v>0</v>
      </c>
      <c r="K140" s="34">
        <v>0</v>
      </c>
      <c r="L140" s="34">
        <v>0</v>
      </c>
      <c r="M140" s="34">
        <v>0</v>
      </c>
      <c r="N140" s="25">
        <v>9</v>
      </c>
      <c r="O140" s="34">
        <v>0</v>
      </c>
      <c r="P140" s="25">
        <v>0</v>
      </c>
      <c r="Q140" s="25">
        <v>0</v>
      </c>
      <c r="R140" s="34">
        <v>0</v>
      </c>
      <c r="S140" s="34">
        <v>0</v>
      </c>
      <c r="T140" s="25">
        <v>141</v>
      </c>
      <c r="U140" s="34">
        <v>0</v>
      </c>
      <c r="V140" s="164"/>
      <c r="W140" s="43" t="s">
        <v>968</v>
      </c>
    </row>
    <row r="141" spans="1:23" x14ac:dyDescent="0.25">
      <c r="A141" s="190"/>
      <c r="B141" s="163"/>
      <c r="C141" s="163"/>
      <c r="D141" s="163"/>
      <c r="E141" s="163"/>
      <c r="F141" s="28" t="s">
        <v>9</v>
      </c>
      <c r="G141" s="25">
        <v>666</v>
      </c>
      <c r="H141" s="25">
        <v>712</v>
      </c>
      <c r="I141" s="25">
        <f t="shared" si="29"/>
        <v>1378</v>
      </c>
      <c r="J141" s="34">
        <v>0</v>
      </c>
      <c r="K141" s="34">
        <v>0</v>
      </c>
      <c r="L141" s="34">
        <v>0</v>
      </c>
      <c r="M141" s="34">
        <v>0</v>
      </c>
      <c r="N141" s="25">
        <v>666</v>
      </c>
      <c r="O141" s="34">
        <v>0</v>
      </c>
      <c r="P141" s="25">
        <v>0</v>
      </c>
      <c r="Q141" s="25">
        <v>0</v>
      </c>
      <c r="R141" s="34">
        <v>0</v>
      </c>
      <c r="S141" s="34">
        <v>0</v>
      </c>
      <c r="T141" s="25">
        <v>712</v>
      </c>
      <c r="U141" s="34">
        <v>0</v>
      </c>
      <c r="V141" s="164"/>
      <c r="W141" s="43" t="s">
        <v>999</v>
      </c>
    </row>
    <row r="142" spans="1:23" x14ac:dyDescent="0.25">
      <c r="A142" s="190"/>
      <c r="B142" s="163"/>
      <c r="C142" s="163"/>
      <c r="D142" s="163"/>
      <c r="E142" s="163"/>
      <c r="F142" s="28" t="s">
        <v>107</v>
      </c>
      <c r="G142" s="25">
        <f>658+13</f>
        <v>671</v>
      </c>
      <c r="H142" s="25">
        <f>1046+233</f>
        <v>1279</v>
      </c>
      <c r="I142" s="25">
        <f t="shared" si="29"/>
        <v>1950</v>
      </c>
      <c r="J142" s="34">
        <v>0</v>
      </c>
      <c r="K142" s="34">
        <v>0</v>
      </c>
      <c r="L142" s="34">
        <v>0</v>
      </c>
      <c r="M142" s="34">
        <v>0</v>
      </c>
      <c r="N142" s="25">
        <f>658+13</f>
        <v>671</v>
      </c>
      <c r="O142" s="34">
        <v>0</v>
      </c>
      <c r="P142" s="25">
        <v>0</v>
      </c>
      <c r="Q142" s="25">
        <v>0</v>
      </c>
      <c r="R142" s="34">
        <v>0</v>
      </c>
      <c r="S142" s="34">
        <v>0</v>
      </c>
      <c r="T142" s="25">
        <f>1046+233</f>
        <v>1279</v>
      </c>
      <c r="U142" s="34">
        <v>0</v>
      </c>
      <c r="V142" s="164"/>
      <c r="W142" s="43" t="s">
        <v>971</v>
      </c>
    </row>
    <row r="143" spans="1:23" x14ac:dyDescent="0.25">
      <c r="A143" s="190"/>
      <c r="B143" s="163"/>
      <c r="C143" s="163"/>
      <c r="D143" s="163"/>
      <c r="E143" s="163"/>
      <c r="F143" s="28" t="s">
        <v>106</v>
      </c>
      <c r="G143" s="25">
        <v>491</v>
      </c>
      <c r="H143" s="25">
        <v>738</v>
      </c>
      <c r="I143" s="25">
        <f t="shared" si="29"/>
        <v>1229</v>
      </c>
      <c r="J143" s="34">
        <v>0</v>
      </c>
      <c r="K143" s="34">
        <v>0</v>
      </c>
      <c r="L143" s="34">
        <v>0</v>
      </c>
      <c r="M143" s="34">
        <v>0</v>
      </c>
      <c r="N143" s="25">
        <v>491</v>
      </c>
      <c r="O143" s="34">
        <v>0</v>
      </c>
      <c r="P143" s="25">
        <v>0</v>
      </c>
      <c r="Q143" s="25">
        <v>0</v>
      </c>
      <c r="R143" s="34">
        <v>0</v>
      </c>
      <c r="S143" s="34">
        <v>0</v>
      </c>
      <c r="T143" s="25">
        <v>0</v>
      </c>
      <c r="U143" s="25">
        <v>738</v>
      </c>
      <c r="V143" s="164"/>
      <c r="W143" s="43" t="s">
        <v>1000</v>
      </c>
    </row>
    <row r="144" spans="1:23" x14ac:dyDescent="0.25">
      <c r="A144" s="190"/>
      <c r="B144" s="163"/>
      <c r="C144" s="163"/>
      <c r="D144" s="163"/>
      <c r="E144" s="163"/>
      <c r="F144" s="28" t="s">
        <v>14</v>
      </c>
      <c r="G144" s="25">
        <v>256</v>
      </c>
      <c r="H144" s="25">
        <v>189</v>
      </c>
      <c r="I144" s="25">
        <f t="shared" si="29"/>
        <v>445</v>
      </c>
      <c r="J144" s="34">
        <v>0</v>
      </c>
      <c r="K144" s="34">
        <v>0</v>
      </c>
      <c r="L144" s="34">
        <v>0</v>
      </c>
      <c r="M144" s="34">
        <v>0</v>
      </c>
      <c r="N144" s="25">
        <v>256</v>
      </c>
      <c r="O144" s="34">
        <v>0</v>
      </c>
      <c r="P144" s="25">
        <v>0</v>
      </c>
      <c r="Q144" s="25">
        <v>0</v>
      </c>
      <c r="R144" s="34">
        <v>0</v>
      </c>
      <c r="S144" s="34">
        <v>0</v>
      </c>
      <c r="T144" s="25">
        <v>189</v>
      </c>
      <c r="U144" s="34">
        <v>0</v>
      </c>
      <c r="V144" s="164"/>
      <c r="W144" s="43" t="s">
        <v>968</v>
      </c>
    </row>
    <row r="145" spans="1:23" x14ac:dyDescent="0.25">
      <c r="A145" s="190"/>
      <c r="B145" s="163"/>
      <c r="C145" s="163"/>
      <c r="D145" s="163"/>
      <c r="E145" s="163"/>
      <c r="F145" s="28" t="s">
        <v>26</v>
      </c>
      <c r="G145" s="25">
        <v>1798</v>
      </c>
      <c r="H145" s="25">
        <v>1568</v>
      </c>
      <c r="I145" s="25">
        <f t="shared" si="29"/>
        <v>3366</v>
      </c>
      <c r="J145" s="34">
        <v>0</v>
      </c>
      <c r="K145" s="34">
        <v>0</v>
      </c>
      <c r="L145" s="34">
        <v>0</v>
      </c>
      <c r="M145" s="34">
        <v>0</v>
      </c>
      <c r="N145" s="25">
        <v>1798</v>
      </c>
      <c r="O145" s="34">
        <v>0</v>
      </c>
      <c r="P145" s="25">
        <v>0</v>
      </c>
      <c r="Q145" s="25">
        <v>0</v>
      </c>
      <c r="R145" s="34">
        <v>0</v>
      </c>
      <c r="S145" s="34">
        <v>0</v>
      </c>
      <c r="T145" s="25">
        <v>1568</v>
      </c>
      <c r="U145" s="34">
        <v>0</v>
      </c>
      <c r="V145" s="164"/>
      <c r="W145" s="43" t="s">
        <v>963</v>
      </c>
    </row>
    <row r="146" spans="1:23" x14ac:dyDescent="0.25">
      <c r="A146" s="190"/>
      <c r="B146" s="163"/>
      <c r="C146" s="163"/>
      <c r="D146" s="163"/>
      <c r="E146" s="163"/>
      <c r="F146" s="28" t="s">
        <v>129</v>
      </c>
      <c r="G146" s="25">
        <v>80</v>
      </c>
      <c r="H146" s="25">
        <v>48</v>
      </c>
      <c r="I146" s="25">
        <f t="shared" si="29"/>
        <v>128</v>
      </c>
      <c r="J146" s="34">
        <v>0</v>
      </c>
      <c r="K146" s="25">
        <v>80</v>
      </c>
      <c r="L146" s="34">
        <v>0</v>
      </c>
      <c r="M146" s="34">
        <v>0</v>
      </c>
      <c r="N146" s="34">
        <v>0</v>
      </c>
      <c r="O146" s="34">
        <v>0</v>
      </c>
      <c r="P146" s="25">
        <v>0</v>
      </c>
      <c r="Q146" s="25">
        <v>48</v>
      </c>
      <c r="R146" s="34">
        <v>0</v>
      </c>
      <c r="S146" s="34">
        <v>0</v>
      </c>
      <c r="T146" s="34">
        <v>0</v>
      </c>
      <c r="U146" s="34">
        <v>0</v>
      </c>
      <c r="V146" s="164"/>
      <c r="W146" s="43" t="s">
        <v>973</v>
      </c>
    </row>
    <row r="147" spans="1:23" x14ac:dyDescent="0.25">
      <c r="A147" s="190"/>
      <c r="B147" s="163"/>
      <c r="C147" s="163"/>
      <c r="D147" s="163"/>
      <c r="E147" s="163"/>
      <c r="F147" s="28" t="s">
        <v>17</v>
      </c>
      <c r="G147" s="25">
        <v>132</v>
      </c>
      <c r="H147" s="25">
        <v>153</v>
      </c>
      <c r="I147" s="25">
        <f t="shared" si="29"/>
        <v>285</v>
      </c>
      <c r="J147" s="34">
        <v>0</v>
      </c>
      <c r="K147" s="34">
        <v>0</v>
      </c>
      <c r="L147" s="34">
        <v>0</v>
      </c>
      <c r="M147" s="34">
        <v>0</v>
      </c>
      <c r="N147" s="25">
        <v>132</v>
      </c>
      <c r="O147" s="34">
        <v>0</v>
      </c>
      <c r="P147" s="25">
        <v>0</v>
      </c>
      <c r="Q147" s="34">
        <v>0</v>
      </c>
      <c r="R147" s="34">
        <v>0</v>
      </c>
      <c r="S147" s="34">
        <v>0</v>
      </c>
      <c r="T147" s="25">
        <v>153</v>
      </c>
      <c r="U147" s="34">
        <v>0</v>
      </c>
      <c r="V147" s="164"/>
      <c r="W147" s="43" t="s">
        <v>965</v>
      </c>
    </row>
    <row r="148" spans="1:23" x14ac:dyDescent="0.25">
      <c r="A148" s="190"/>
      <c r="B148" s="163"/>
      <c r="C148" s="163"/>
      <c r="D148" s="163"/>
      <c r="E148" s="163"/>
      <c r="F148" s="28" t="s">
        <v>19</v>
      </c>
      <c r="G148" s="25">
        <v>696</v>
      </c>
      <c r="H148" s="25">
        <v>762</v>
      </c>
      <c r="I148" s="25">
        <f t="shared" si="29"/>
        <v>1458</v>
      </c>
      <c r="J148" s="34">
        <v>0</v>
      </c>
      <c r="K148" s="34">
        <v>0</v>
      </c>
      <c r="L148" s="34">
        <v>0</v>
      </c>
      <c r="M148" s="34">
        <v>0</v>
      </c>
      <c r="N148" s="25">
        <v>696</v>
      </c>
      <c r="O148" s="34">
        <v>0</v>
      </c>
      <c r="P148" s="25">
        <v>0</v>
      </c>
      <c r="Q148" s="34">
        <v>0</v>
      </c>
      <c r="R148" s="34">
        <v>0</v>
      </c>
      <c r="S148" s="34">
        <v>0</v>
      </c>
      <c r="T148" s="25">
        <v>762</v>
      </c>
      <c r="U148" s="34">
        <v>0</v>
      </c>
      <c r="V148" s="164"/>
      <c r="W148" s="43" t="s">
        <v>964</v>
      </c>
    </row>
    <row r="149" spans="1:23" x14ac:dyDescent="0.25">
      <c r="A149" s="190"/>
      <c r="B149" s="163"/>
      <c r="C149" s="163"/>
      <c r="D149" s="163"/>
      <c r="E149" s="163"/>
      <c r="F149" s="28" t="s">
        <v>133</v>
      </c>
      <c r="G149" s="25">
        <f>295+59</f>
        <v>354</v>
      </c>
      <c r="H149" s="25">
        <f>769+217</f>
        <v>986</v>
      </c>
      <c r="I149" s="25">
        <f t="shared" si="29"/>
        <v>1340</v>
      </c>
      <c r="J149" s="34">
        <v>0</v>
      </c>
      <c r="K149" s="34">
        <v>0</v>
      </c>
      <c r="L149" s="34">
        <v>0</v>
      </c>
      <c r="M149" s="34">
        <v>0</v>
      </c>
      <c r="N149" s="25">
        <f>295+59</f>
        <v>354</v>
      </c>
      <c r="O149" s="34">
        <v>0</v>
      </c>
      <c r="P149" s="25">
        <v>0</v>
      </c>
      <c r="Q149" s="34">
        <v>0</v>
      </c>
      <c r="R149" s="34">
        <v>0</v>
      </c>
      <c r="S149" s="34">
        <v>0</v>
      </c>
      <c r="T149" s="25">
        <f>769+217</f>
        <v>986</v>
      </c>
      <c r="U149" s="34">
        <v>0</v>
      </c>
      <c r="V149" s="164"/>
      <c r="W149" s="43" t="s">
        <v>1001</v>
      </c>
    </row>
    <row r="150" spans="1:23" x14ac:dyDescent="0.25">
      <c r="A150" s="190"/>
      <c r="B150" s="163"/>
      <c r="C150" s="163"/>
      <c r="D150" s="163"/>
      <c r="E150" s="163"/>
      <c r="F150" s="28" t="s">
        <v>128</v>
      </c>
      <c r="G150" s="25">
        <v>323</v>
      </c>
      <c r="H150" s="25">
        <v>181</v>
      </c>
      <c r="I150" s="25">
        <f t="shared" si="29"/>
        <v>504</v>
      </c>
      <c r="J150" s="34">
        <v>0</v>
      </c>
      <c r="K150" s="34">
        <v>0</v>
      </c>
      <c r="L150" s="34">
        <v>0</v>
      </c>
      <c r="M150" s="34">
        <v>0</v>
      </c>
      <c r="N150" s="25">
        <v>323</v>
      </c>
      <c r="O150" s="34">
        <v>0</v>
      </c>
      <c r="P150" s="25">
        <v>0</v>
      </c>
      <c r="Q150" s="34">
        <v>0</v>
      </c>
      <c r="R150" s="34">
        <v>0</v>
      </c>
      <c r="S150" s="34">
        <v>0</v>
      </c>
      <c r="T150" s="25">
        <v>181</v>
      </c>
      <c r="U150" s="34">
        <v>0</v>
      </c>
      <c r="V150" s="164"/>
      <c r="W150" s="43" t="s">
        <v>990</v>
      </c>
    </row>
    <row r="151" spans="1:23" x14ac:dyDescent="0.25">
      <c r="A151" s="190"/>
      <c r="B151" s="163"/>
      <c r="C151" s="163"/>
      <c r="D151" s="163"/>
      <c r="E151" s="163"/>
      <c r="F151" s="28" t="s">
        <v>21</v>
      </c>
      <c r="G151" s="25">
        <v>668</v>
      </c>
      <c r="H151" s="25">
        <v>365</v>
      </c>
      <c r="I151" s="25">
        <f t="shared" si="29"/>
        <v>1033</v>
      </c>
      <c r="J151" s="34">
        <v>0</v>
      </c>
      <c r="K151" s="25">
        <v>668</v>
      </c>
      <c r="L151" s="34">
        <v>0</v>
      </c>
      <c r="M151" s="34">
        <v>0</v>
      </c>
      <c r="N151" s="34">
        <v>0</v>
      </c>
      <c r="O151" s="34">
        <v>0</v>
      </c>
      <c r="P151" s="25">
        <v>0</v>
      </c>
      <c r="Q151" s="25">
        <v>365</v>
      </c>
      <c r="R151" s="34">
        <v>0</v>
      </c>
      <c r="S151" s="34">
        <v>0</v>
      </c>
      <c r="T151" s="34">
        <v>0</v>
      </c>
      <c r="U151" s="34">
        <v>0</v>
      </c>
      <c r="V151" s="164"/>
      <c r="W151" s="43" t="s">
        <v>1002</v>
      </c>
    </row>
    <row r="152" spans="1:23" x14ac:dyDescent="0.25">
      <c r="A152" s="190"/>
      <c r="B152" s="163"/>
      <c r="C152" s="163"/>
      <c r="D152" s="163"/>
      <c r="E152" s="163"/>
      <c r="F152" s="28" t="s">
        <v>43</v>
      </c>
      <c r="G152" s="25">
        <v>596</v>
      </c>
      <c r="H152" s="25">
        <v>170</v>
      </c>
      <c r="I152" s="25">
        <f t="shared" si="29"/>
        <v>766</v>
      </c>
      <c r="J152" s="34">
        <v>0</v>
      </c>
      <c r="K152" s="34">
        <v>0</v>
      </c>
      <c r="L152" s="34">
        <v>0</v>
      </c>
      <c r="M152" s="34">
        <v>0</v>
      </c>
      <c r="N152" s="25">
        <v>596</v>
      </c>
      <c r="O152" s="34">
        <v>0</v>
      </c>
      <c r="P152" s="25">
        <v>0</v>
      </c>
      <c r="Q152" s="34">
        <v>0</v>
      </c>
      <c r="R152" s="34">
        <v>0</v>
      </c>
      <c r="S152" s="34">
        <v>0</v>
      </c>
      <c r="T152" s="25">
        <v>170</v>
      </c>
      <c r="U152" s="34">
        <v>0</v>
      </c>
      <c r="V152" s="164"/>
      <c r="W152" s="43" t="s">
        <v>964</v>
      </c>
    </row>
    <row r="153" spans="1:23" x14ac:dyDescent="0.25">
      <c r="A153" s="190"/>
      <c r="B153" s="163"/>
      <c r="C153" s="163"/>
      <c r="D153" s="163"/>
      <c r="E153" s="163"/>
      <c r="F153" s="28" t="s">
        <v>23</v>
      </c>
      <c r="G153" s="25">
        <v>1177</v>
      </c>
      <c r="H153" s="25">
        <v>1126</v>
      </c>
      <c r="I153" s="25">
        <f t="shared" si="29"/>
        <v>2303</v>
      </c>
      <c r="J153" s="34">
        <v>0</v>
      </c>
      <c r="K153" s="34">
        <v>409</v>
      </c>
      <c r="L153" s="34">
        <v>0</v>
      </c>
      <c r="M153" s="34">
        <v>0</v>
      </c>
      <c r="N153" s="25">
        <v>768</v>
      </c>
      <c r="O153" s="34">
        <v>0</v>
      </c>
      <c r="P153" s="25">
        <v>0</v>
      </c>
      <c r="Q153" s="25">
        <v>136</v>
      </c>
      <c r="R153" s="34">
        <v>0</v>
      </c>
      <c r="S153" s="34">
        <v>0</v>
      </c>
      <c r="T153" s="25">
        <v>990</v>
      </c>
      <c r="U153" s="34">
        <v>0</v>
      </c>
      <c r="V153" s="164"/>
      <c r="W153" s="43" t="s">
        <v>1003</v>
      </c>
    </row>
    <row r="154" spans="1:23" x14ac:dyDescent="0.25">
      <c r="A154" s="190"/>
      <c r="B154" s="163"/>
      <c r="C154" s="163"/>
      <c r="D154" s="163"/>
      <c r="E154" s="163"/>
      <c r="F154" s="28" t="s">
        <v>28</v>
      </c>
      <c r="G154" s="25">
        <v>1255</v>
      </c>
      <c r="H154" s="25">
        <v>829</v>
      </c>
      <c r="I154" s="25">
        <f t="shared" si="29"/>
        <v>2084</v>
      </c>
      <c r="J154" s="34">
        <v>0</v>
      </c>
      <c r="K154" s="25">
        <v>277</v>
      </c>
      <c r="L154" s="34">
        <v>0</v>
      </c>
      <c r="M154" s="34">
        <v>0</v>
      </c>
      <c r="N154" s="25">
        <v>978</v>
      </c>
      <c r="O154" s="34">
        <v>0</v>
      </c>
      <c r="P154" s="25">
        <v>0</v>
      </c>
      <c r="Q154" s="25">
        <v>2</v>
      </c>
      <c r="R154" s="34">
        <v>0</v>
      </c>
      <c r="S154" s="34">
        <v>0</v>
      </c>
      <c r="T154" s="25">
        <v>827</v>
      </c>
      <c r="U154" s="34">
        <v>0</v>
      </c>
      <c r="V154" s="164"/>
      <c r="W154" s="43" t="s">
        <v>986</v>
      </c>
    </row>
    <row r="155" spans="1:23" x14ac:dyDescent="0.25">
      <c r="A155" s="190"/>
      <c r="B155" s="163"/>
      <c r="C155" s="163"/>
      <c r="D155" s="163"/>
      <c r="E155" s="163"/>
      <c r="F155" s="28" t="s">
        <v>700</v>
      </c>
      <c r="G155" s="25">
        <v>377</v>
      </c>
      <c r="H155" s="25">
        <v>281</v>
      </c>
      <c r="I155" s="25">
        <f t="shared" si="29"/>
        <v>658</v>
      </c>
      <c r="J155" s="34">
        <v>0</v>
      </c>
      <c r="K155" s="25">
        <v>0</v>
      </c>
      <c r="L155" s="34">
        <v>0</v>
      </c>
      <c r="M155" s="34">
        <v>0</v>
      </c>
      <c r="N155" s="25">
        <v>377</v>
      </c>
      <c r="O155" s="34">
        <v>0</v>
      </c>
      <c r="P155" s="25">
        <v>0</v>
      </c>
      <c r="Q155" s="25">
        <v>0</v>
      </c>
      <c r="R155" s="25">
        <v>0</v>
      </c>
      <c r="S155" s="34">
        <v>0</v>
      </c>
      <c r="T155" s="25">
        <v>281</v>
      </c>
      <c r="U155" s="34">
        <v>0</v>
      </c>
      <c r="V155" s="164"/>
      <c r="W155" s="43" t="s">
        <v>20</v>
      </c>
    </row>
    <row r="156" spans="1:23" x14ac:dyDescent="0.25">
      <c r="A156" s="190"/>
      <c r="B156" s="163"/>
      <c r="C156" s="163"/>
      <c r="D156" s="163"/>
      <c r="E156" s="163"/>
      <c r="F156" s="28" t="s">
        <v>134</v>
      </c>
      <c r="G156" s="25">
        <v>73</v>
      </c>
      <c r="H156" s="25">
        <v>560</v>
      </c>
      <c r="I156" s="25">
        <f t="shared" si="29"/>
        <v>633</v>
      </c>
      <c r="J156" s="34">
        <v>0</v>
      </c>
      <c r="K156" s="25">
        <v>0</v>
      </c>
      <c r="L156" s="34">
        <v>0</v>
      </c>
      <c r="M156" s="25">
        <v>73</v>
      </c>
      <c r="N156" s="25">
        <v>0</v>
      </c>
      <c r="O156" s="34">
        <v>0</v>
      </c>
      <c r="P156" s="25">
        <v>0</v>
      </c>
      <c r="Q156" s="25">
        <v>0</v>
      </c>
      <c r="R156" s="25">
        <v>0</v>
      </c>
      <c r="S156" s="25">
        <v>560</v>
      </c>
      <c r="T156" s="25">
        <v>0</v>
      </c>
      <c r="U156" s="34">
        <v>0</v>
      </c>
      <c r="V156" s="164"/>
      <c r="W156" s="43" t="s">
        <v>968</v>
      </c>
    </row>
    <row r="157" spans="1:23" x14ac:dyDescent="0.25">
      <c r="A157" s="190"/>
      <c r="B157" s="163"/>
      <c r="C157" s="163"/>
      <c r="D157" s="163"/>
      <c r="E157" s="163"/>
      <c r="F157" s="28" t="s">
        <v>98</v>
      </c>
      <c r="G157" s="25">
        <v>0</v>
      </c>
      <c r="H157" s="25">
        <v>0</v>
      </c>
      <c r="I157" s="25">
        <f t="shared" si="29"/>
        <v>0</v>
      </c>
      <c r="J157" s="34">
        <v>0</v>
      </c>
      <c r="K157" s="34">
        <v>0</v>
      </c>
      <c r="L157" s="34">
        <v>0</v>
      </c>
      <c r="M157" s="34">
        <v>0</v>
      </c>
      <c r="N157" s="34">
        <v>0</v>
      </c>
      <c r="O157" s="34">
        <v>0</v>
      </c>
      <c r="P157" s="25">
        <v>0</v>
      </c>
      <c r="Q157" s="25">
        <v>0</v>
      </c>
      <c r="R157" s="25">
        <v>0</v>
      </c>
      <c r="S157" s="25">
        <v>0</v>
      </c>
      <c r="T157" s="25">
        <v>0</v>
      </c>
      <c r="U157" s="34">
        <v>0</v>
      </c>
      <c r="V157" s="164"/>
      <c r="W157" s="43" t="s">
        <v>20</v>
      </c>
    </row>
    <row r="158" spans="1:23" x14ac:dyDescent="0.25">
      <c r="A158" s="190"/>
      <c r="B158" s="163"/>
      <c r="C158" s="163"/>
      <c r="D158" s="163"/>
      <c r="E158" s="163"/>
      <c r="F158" s="28" t="s">
        <v>32</v>
      </c>
      <c r="G158" s="25">
        <v>277</v>
      </c>
      <c r="H158" s="25">
        <v>169</v>
      </c>
      <c r="I158" s="25">
        <f t="shared" si="29"/>
        <v>446</v>
      </c>
      <c r="J158" s="25">
        <v>277</v>
      </c>
      <c r="K158" s="34">
        <v>0</v>
      </c>
      <c r="L158" s="34">
        <v>0</v>
      </c>
      <c r="M158" s="34">
        <v>0</v>
      </c>
      <c r="N158" s="34">
        <v>0</v>
      </c>
      <c r="O158" s="34">
        <v>0</v>
      </c>
      <c r="P158" s="25">
        <v>169</v>
      </c>
      <c r="Q158" s="25">
        <v>0</v>
      </c>
      <c r="R158" s="25">
        <v>0</v>
      </c>
      <c r="S158" s="25">
        <v>0</v>
      </c>
      <c r="T158" s="25">
        <v>0</v>
      </c>
      <c r="U158" s="34">
        <v>0</v>
      </c>
      <c r="V158" s="164"/>
      <c r="W158" s="43" t="s">
        <v>963</v>
      </c>
    </row>
    <row r="159" spans="1:23" x14ac:dyDescent="0.25">
      <c r="A159" s="190"/>
      <c r="B159" s="163"/>
      <c r="C159" s="163"/>
      <c r="D159" s="163"/>
      <c r="E159" s="163"/>
      <c r="F159" s="28" t="s">
        <v>30</v>
      </c>
      <c r="G159" s="25">
        <v>95</v>
      </c>
      <c r="H159" s="25">
        <v>2708</v>
      </c>
      <c r="I159" s="25">
        <f t="shared" si="29"/>
        <v>2803</v>
      </c>
      <c r="J159" s="25">
        <v>95</v>
      </c>
      <c r="K159" s="34">
        <v>0</v>
      </c>
      <c r="L159" s="34">
        <v>0</v>
      </c>
      <c r="M159" s="34">
        <v>0</v>
      </c>
      <c r="N159" s="34">
        <v>0</v>
      </c>
      <c r="O159" s="34">
        <v>0</v>
      </c>
      <c r="P159" s="25">
        <v>2708</v>
      </c>
      <c r="Q159" s="25">
        <v>0</v>
      </c>
      <c r="R159" s="25">
        <v>0</v>
      </c>
      <c r="S159" s="25">
        <v>0</v>
      </c>
      <c r="T159" s="25">
        <v>0</v>
      </c>
      <c r="U159" s="34">
        <v>0</v>
      </c>
      <c r="V159" s="164"/>
      <c r="W159" s="43" t="s">
        <v>965</v>
      </c>
    </row>
    <row r="160" spans="1:23" x14ac:dyDescent="0.25">
      <c r="A160" s="190"/>
      <c r="B160" s="163"/>
      <c r="C160" s="163"/>
      <c r="D160" s="163"/>
      <c r="E160" s="163"/>
      <c r="F160" s="28" t="s">
        <v>151</v>
      </c>
      <c r="G160" s="25">
        <v>450</v>
      </c>
      <c r="H160" s="25">
        <v>1702</v>
      </c>
      <c r="I160" s="25">
        <f t="shared" si="29"/>
        <v>2152</v>
      </c>
      <c r="J160" s="25">
        <v>450</v>
      </c>
      <c r="K160" s="34">
        <v>0</v>
      </c>
      <c r="L160" s="34">
        <v>0</v>
      </c>
      <c r="M160" s="34">
        <v>0</v>
      </c>
      <c r="N160" s="34">
        <v>0</v>
      </c>
      <c r="O160" s="34">
        <v>0</v>
      </c>
      <c r="P160" s="25">
        <v>1702</v>
      </c>
      <c r="Q160" s="25">
        <v>0</v>
      </c>
      <c r="R160" s="25">
        <v>0</v>
      </c>
      <c r="S160" s="25">
        <v>0</v>
      </c>
      <c r="T160" s="25">
        <v>0</v>
      </c>
      <c r="U160" s="34">
        <v>0</v>
      </c>
      <c r="V160" s="164"/>
      <c r="W160" s="43" t="s">
        <v>965</v>
      </c>
    </row>
    <row r="161" spans="1:23" x14ac:dyDescent="0.25">
      <c r="A161" s="190"/>
      <c r="B161" s="163"/>
      <c r="C161" s="163"/>
      <c r="D161" s="163"/>
      <c r="E161" s="163"/>
      <c r="F161" s="28" t="s">
        <v>152</v>
      </c>
      <c r="G161" s="25">
        <v>330</v>
      </c>
      <c r="H161" s="25">
        <v>3910</v>
      </c>
      <c r="I161" s="25">
        <f t="shared" si="29"/>
        <v>4240</v>
      </c>
      <c r="J161" s="25">
        <v>330</v>
      </c>
      <c r="K161" s="34">
        <v>0</v>
      </c>
      <c r="L161" s="34">
        <v>0</v>
      </c>
      <c r="M161" s="34">
        <v>0</v>
      </c>
      <c r="N161" s="34">
        <v>0</v>
      </c>
      <c r="O161" s="34">
        <v>0</v>
      </c>
      <c r="P161" s="25">
        <v>3910</v>
      </c>
      <c r="Q161" s="25">
        <v>0</v>
      </c>
      <c r="R161" s="25">
        <v>0</v>
      </c>
      <c r="S161" s="25">
        <v>0</v>
      </c>
      <c r="T161" s="25">
        <v>0</v>
      </c>
      <c r="U161" s="34">
        <v>0</v>
      </c>
      <c r="V161" s="164"/>
      <c r="W161" s="43" t="s">
        <v>981</v>
      </c>
    </row>
    <row r="162" spans="1:23" x14ac:dyDescent="0.25">
      <c r="A162" s="190"/>
      <c r="B162" s="163"/>
      <c r="C162" s="163"/>
      <c r="D162" s="163"/>
      <c r="E162" s="163"/>
      <c r="F162" s="29" t="s">
        <v>153</v>
      </c>
      <c r="G162" s="25">
        <v>985</v>
      </c>
      <c r="H162" s="25">
        <v>4985</v>
      </c>
      <c r="I162" s="25">
        <f t="shared" si="29"/>
        <v>5970</v>
      </c>
      <c r="J162" s="25">
        <v>985</v>
      </c>
      <c r="K162" s="34">
        <v>0</v>
      </c>
      <c r="L162" s="34">
        <v>0</v>
      </c>
      <c r="M162" s="34">
        <v>0</v>
      </c>
      <c r="N162" s="34">
        <v>0</v>
      </c>
      <c r="O162" s="34">
        <v>0</v>
      </c>
      <c r="P162" s="25">
        <v>4985</v>
      </c>
      <c r="Q162" s="25">
        <v>0</v>
      </c>
      <c r="R162" s="25">
        <v>0</v>
      </c>
      <c r="S162" s="25">
        <v>0</v>
      </c>
      <c r="T162" s="25">
        <v>0</v>
      </c>
      <c r="U162" s="34">
        <v>0</v>
      </c>
      <c r="V162" s="164"/>
      <c r="W162" s="43" t="s">
        <v>964</v>
      </c>
    </row>
    <row r="163" spans="1:23" x14ac:dyDescent="0.25">
      <c r="A163" s="190"/>
      <c r="B163" s="163"/>
      <c r="C163" s="163"/>
      <c r="D163" s="163"/>
      <c r="E163" s="163"/>
      <c r="F163" s="29" t="s">
        <v>61</v>
      </c>
      <c r="G163" s="25">
        <v>2240</v>
      </c>
      <c r="H163" s="25">
        <v>6631</v>
      </c>
      <c r="I163" s="25">
        <f t="shared" si="29"/>
        <v>8871</v>
      </c>
      <c r="J163" s="34">
        <v>0</v>
      </c>
      <c r="K163" s="34">
        <v>0</v>
      </c>
      <c r="L163" s="34">
        <v>0</v>
      </c>
      <c r="M163" s="34">
        <v>0</v>
      </c>
      <c r="N163" s="25">
        <v>2240</v>
      </c>
      <c r="O163" s="34">
        <v>0</v>
      </c>
      <c r="P163" s="34">
        <v>0</v>
      </c>
      <c r="Q163" s="25">
        <v>0</v>
      </c>
      <c r="R163" s="25">
        <v>0</v>
      </c>
      <c r="S163" s="25">
        <v>0</v>
      </c>
      <c r="T163" s="25">
        <v>6631</v>
      </c>
      <c r="U163" s="34">
        <v>0</v>
      </c>
      <c r="V163" s="164"/>
      <c r="W163" s="43" t="s">
        <v>963</v>
      </c>
    </row>
    <row r="164" spans="1:23" x14ac:dyDescent="0.25">
      <c r="A164" s="190"/>
      <c r="B164" s="163"/>
      <c r="C164" s="163"/>
      <c r="D164" s="163"/>
      <c r="E164" s="163"/>
      <c r="F164" s="29" t="s">
        <v>736</v>
      </c>
      <c r="G164" s="25">
        <v>3177</v>
      </c>
      <c r="H164" s="25">
        <v>7277</v>
      </c>
      <c r="I164" s="25">
        <f t="shared" si="29"/>
        <v>10454</v>
      </c>
      <c r="J164" s="34">
        <v>0</v>
      </c>
      <c r="K164" s="34">
        <v>0</v>
      </c>
      <c r="L164" s="34">
        <v>0</v>
      </c>
      <c r="M164" s="34">
        <v>0</v>
      </c>
      <c r="N164" s="25">
        <v>3177</v>
      </c>
      <c r="O164" s="34">
        <v>0</v>
      </c>
      <c r="P164" s="34">
        <v>0</v>
      </c>
      <c r="Q164" s="25">
        <v>0</v>
      </c>
      <c r="R164" s="25">
        <v>0</v>
      </c>
      <c r="S164" s="25">
        <v>0</v>
      </c>
      <c r="T164" s="25">
        <v>7277</v>
      </c>
      <c r="U164" s="34">
        <v>0</v>
      </c>
      <c r="V164" s="164"/>
      <c r="W164" s="43" t="s">
        <v>972</v>
      </c>
    </row>
    <row r="165" spans="1:23" x14ac:dyDescent="0.25">
      <c r="A165" s="190"/>
      <c r="B165" s="163"/>
      <c r="C165" s="163"/>
      <c r="D165" s="163"/>
      <c r="E165" s="163"/>
      <c r="F165" s="26" t="s">
        <v>702</v>
      </c>
      <c r="G165" s="27">
        <f>SUM(G135:G164)</f>
        <v>24441</v>
      </c>
      <c r="H165" s="27">
        <f>SUM(H135:H164)</f>
        <v>41951</v>
      </c>
      <c r="I165" s="194">
        <f t="shared" si="29"/>
        <v>66392</v>
      </c>
      <c r="J165" s="27">
        <f t="shared" ref="J165:U165" si="30">SUM(J135:J164)</f>
        <v>2411</v>
      </c>
      <c r="K165" s="27">
        <f t="shared" si="30"/>
        <v>6131</v>
      </c>
      <c r="L165" s="27">
        <f t="shared" si="30"/>
        <v>0</v>
      </c>
      <c r="M165" s="27">
        <f t="shared" si="30"/>
        <v>73</v>
      </c>
      <c r="N165" s="27">
        <f t="shared" si="30"/>
        <v>15826</v>
      </c>
      <c r="O165" s="27">
        <f t="shared" si="30"/>
        <v>0</v>
      </c>
      <c r="P165" s="27">
        <f t="shared" si="30"/>
        <v>13759</v>
      </c>
      <c r="Q165" s="27">
        <f>SUM(Q135:Q164)</f>
        <v>1223</v>
      </c>
      <c r="R165" s="27">
        <f t="shared" si="30"/>
        <v>0</v>
      </c>
      <c r="S165" s="27">
        <f t="shared" si="30"/>
        <v>560</v>
      </c>
      <c r="T165" s="27">
        <f t="shared" si="30"/>
        <v>25671</v>
      </c>
      <c r="U165" s="27">
        <f t="shared" si="30"/>
        <v>738</v>
      </c>
      <c r="V165" s="30"/>
      <c r="W165" s="30"/>
    </row>
    <row r="166" spans="1:23" x14ac:dyDescent="0.25">
      <c r="A166" s="190" t="s">
        <v>783</v>
      </c>
      <c r="B166" s="163">
        <v>2019</v>
      </c>
      <c r="C166" s="163" t="s">
        <v>784</v>
      </c>
      <c r="D166" s="163" t="s">
        <v>827</v>
      </c>
      <c r="E166" s="193" t="s">
        <v>959</v>
      </c>
      <c r="F166" s="28" t="s">
        <v>39</v>
      </c>
      <c r="G166" s="25">
        <v>4120</v>
      </c>
      <c r="H166" s="25">
        <v>3289</v>
      </c>
      <c r="I166" s="25">
        <f t="shared" si="29"/>
        <v>7409</v>
      </c>
      <c r="J166" s="34">
        <v>0</v>
      </c>
      <c r="K166" s="34">
        <v>0</v>
      </c>
      <c r="L166" s="34">
        <v>0</v>
      </c>
      <c r="M166" s="34">
        <v>0</v>
      </c>
      <c r="N166" s="25">
        <v>4120</v>
      </c>
      <c r="O166" s="34">
        <v>0</v>
      </c>
      <c r="P166" s="34">
        <v>0</v>
      </c>
      <c r="Q166" s="34">
        <v>0</v>
      </c>
      <c r="R166" s="34">
        <v>0</v>
      </c>
      <c r="S166" s="34">
        <v>0</v>
      </c>
      <c r="T166" s="25">
        <v>3289</v>
      </c>
      <c r="U166" s="34">
        <v>0</v>
      </c>
      <c r="V166" s="45" t="s">
        <v>11</v>
      </c>
      <c r="W166" s="43" t="s">
        <v>997</v>
      </c>
    </row>
    <row r="167" spans="1:23" x14ac:dyDescent="0.25">
      <c r="A167" s="190"/>
      <c r="B167" s="163"/>
      <c r="C167" s="163"/>
      <c r="D167" s="163"/>
      <c r="E167" s="163"/>
      <c r="F167" s="26" t="s">
        <v>702</v>
      </c>
      <c r="G167" s="27">
        <f>SUM(G166)</f>
        <v>4120</v>
      </c>
      <c r="H167" s="27">
        <f>SUM(H166)</f>
        <v>3289</v>
      </c>
      <c r="I167" s="194">
        <f t="shared" si="29"/>
        <v>7409</v>
      </c>
      <c r="J167" s="27">
        <f t="shared" ref="J167:U167" si="31">SUM(J166)</f>
        <v>0</v>
      </c>
      <c r="K167" s="27">
        <f t="shared" si="31"/>
        <v>0</v>
      </c>
      <c r="L167" s="27">
        <f t="shared" si="31"/>
        <v>0</v>
      </c>
      <c r="M167" s="27">
        <f t="shared" si="31"/>
        <v>0</v>
      </c>
      <c r="N167" s="27">
        <f t="shared" si="31"/>
        <v>4120</v>
      </c>
      <c r="O167" s="27">
        <f t="shared" si="31"/>
        <v>0</v>
      </c>
      <c r="P167" s="27">
        <f t="shared" si="31"/>
        <v>0</v>
      </c>
      <c r="Q167" s="27">
        <f t="shared" si="31"/>
        <v>0</v>
      </c>
      <c r="R167" s="27">
        <f t="shared" si="31"/>
        <v>0</v>
      </c>
      <c r="S167" s="27">
        <f t="shared" si="31"/>
        <v>0</v>
      </c>
      <c r="T167" s="27">
        <f t="shared" si="31"/>
        <v>3289</v>
      </c>
      <c r="U167" s="27">
        <f t="shared" si="31"/>
        <v>0</v>
      </c>
      <c r="V167" s="30"/>
      <c r="W167" s="30"/>
    </row>
    <row r="168" spans="1:23" x14ac:dyDescent="0.25">
      <c r="A168" s="190" t="s">
        <v>785</v>
      </c>
      <c r="B168" s="163">
        <v>2019</v>
      </c>
      <c r="C168" s="163" t="s">
        <v>786</v>
      </c>
      <c r="D168" s="163" t="s">
        <v>826</v>
      </c>
      <c r="E168" s="193" t="s">
        <v>960</v>
      </c>
      <c r="F168" s="28" t="s">
        <v>787</v>
      </c>
      <c r="G168" s="25">
        <v>311</v>
      </c>
      <c r="H168" s="25">
        <v>1555</v>
      </c>
      <c r="I168" s="25">
        <f t="shared" si="29"/>
        <v>1866</v>
      </c>
      <c r="J168" s="34">
        <v>0</v>
      </c>
      <c r="K168" s="34">
        <v>0</v>
      </c>
      <c r="L168" s="34">
        <v>0</v>
      </c>
      <c r="M168" s="34">
        <v>0</v>
      </c>
      <c r="N168" s="25">
        <v>311</v>
      </c>
      <c r="O168" s="34">
        <v>0</v>
      </c>
      <c r="P168" s="34">
        <v>0</v>
      </c>
      <c r="Q168" s="34">
        <v>0</v>
      </c>
      <c r="R168" s="34">
        <v>0</v>
      </c>
      <c r="S168" s="34">
        <v>0</v>
      </c>
      <c r="T168" s="25">
        <v>1555</v>
      </c>
      <c r="U168" s="34">
        <v>0</v>
      </c>
      <c r="V168" s="164" t="s">
        <v>11</v>
      </c>
      <c r="W168" s="43" t="s">
        <v>20</v>
      </c>
    </row>
    <row r="169" spans="1:23" x14ac:dyDescent="0.25">
      <c r="A169" s="190"/>
      <c r="B169" s="163"/>
      <c r="C169" s="163"/>
      <c r="D169" s="163"/>
      <c r="E169" s="163"/>
      <c r="F169" s="29" t="s">
        <v>788</v>
      </c>
      <c r="G169" s="25">
        <v>2524</v>
      </c>
      <c r="H169" s="38">
        <v>1074</v>
      </c>
      <c r="I169" s="25">
        <f t="shared" si="29"/>
        <v>3598</v>
      </c>
      <c r="J169" s="34">
        <v>0</v>
      </c>
      <c r="K169" s="34">
        <v>0</v>
      </c>
      <c r="L169" s="34">
        <v>0</v>
      </c>
      <c r="M169" s="34">
        <v>0</v>
      </c>
      <c r="N169" s="25">
        <v>2524</v>
      </c>
      <c r="O169" s="34">
        <v>0</v>
      </c>
      <c r="P169" s="34">
        <v>0</v>
      </c>
      <c r="Q169" s="34">
        <v>0</v>
      </c>
      <c r="R169" s="34">
        <v>0</v>
      </c>
      <c r="S169" s="34">
        <v>0</v>
      </c>
      <c r="T169" s="38">
        <v>1074</v>
      </c>
      <c r="U169" s="34">
        <v>0</v>
      </c>
      <c r="V169" s="164"/>
      <c r="W169" s="43" t="s">
        <v>20</v>
      </c>
    </row>
    <row r="170" spans="1:23" x14ac:dyDescent="0.25">
      <c r="A170" s="190"/>
      <c r="B170" s="163"/>
      <c r="C170" s="163"/>
      <c r="D170" s="163"/>
      <c r="E170" s="163"/>
      <c r="F170" s="29" t="s">
        <v>156</v>
      </c>
      <c r="G170" s="25">
        <v>138</v>
      </c>
      <c r="H170" s="38">
        <v>172</v>
      </c>
      <c r="I170" s="25">
        <f t="shared" si="29"/>
        <v>310</v>
      </c>
      <c r="J170" s="34">
        <v>0</v>
      </c>
      <c r="K170" s="34">
        <v>0</v>
      </c>
      <c r="L170" s="34">
        <v>0</v>
      </c>
      <c r="M170" s="34">
        <v>0</v>
      </c>
      <c r="N170" s="25">
        <v>138</v>
      </c>
      <c r="O170" s="34">
        <v>0</v>
      </c>
      <c r="P170" s="34">
        <v>0</v>
      </c>
      <c r="Q170" s="34">
        <v>0</v>
      </c>
      <c r="R170" s="34">
        <v>0</v>
      </c>
      <c r="S170" s="34">
        <v>0</v>
      </c>
      <c r="T170" s="38">
        <v>172</v>
      </c>
      <c r="U170" s="34">
        <v>0</v>
      </c>
      <c r="V170" s="164"/>
      <c r="W170" s="43" t="s">
        <v>20</v>
      </c>
    </row>
    <row r="171" spans="1:23" x14ac:dyDescent="0.25">
      <c r="A171" s="190"/>
      <c r="B171" s="163"/>
      <c r="C171" s="163"/>
      <c r="D171" s="163"/>
      <c r="E171" s="163"/>
      <c r="F171" s="28" t="s">
        <v>9</v>
      </c>
      <c r="G171" s="25">
        <v>647</v>
      </c>
      <c r="H171" s="38">
        <v>704</v>
      </c>
      <c r="I171" s="25">
        <f t="shared" si="29"/>
        <v>1351</v>
      </c>
      <c r="J171" s="34">
        <v>0</v>
      </c>
      <c r="K171" s="34">
        <v>0</v>
      </c>
      <c r="L171" s="34">
        <v>0</v>
      </c>
      <c r="M171" s="34">
        <v>0</v>
      </c>
      <c r="N171" s="25">
        <v>647</v>
      </c>
      <c r="O171" s="34">
        <v>0</v>
      </c>
      <c r="P171" s="34">
        <v>0</v>
      </c>
      <c r="Q171" s="34">
        <v>0</v>
      </c>
      <c r="R171" s="34">
        <v>0</v>
      </c>
      <c r="S171" s="34">
        <v>0</v>
      </c>
      <c r="T171" s="38">
        <v>704</v>
      </c>
      <c r="U171" s="34">
        <v>0</v>
      </c>
      <c r="V171" s="164"/>
      <c r="W171" s="43" t="s">
        <v>20</v>
      </c>
    </row>
    <row r="172" spans="1:23" x14ac:dyDescent="0.25">
      <c r="A172" s="190"/>
      <c r="B172" s="163"/>
      <c r="C172" s="163"/>
      <c r="D172" s="163"/>
      <c r="E172" s="163"/>
      <c r="F172" s="29" t="s">
        <v>107</v>
      </c>
      <c r="G172" s="25">
        <v>0</v>
      </c>
      <c r="H172" s="38">
        <v>1035</v>
      </c>
      <c r="I172" s="25">
        <f t="shared" si="29"/>
        <v>1035</v>
      </c>
      <c r="J172" s="34">
        <v>0</v>
      </c>
      <c r="K172" s="34">
        <v>0</v>
      </c>
      <c r="L172" s="34">
        <v>0</v>
      </c>
      <c r="M172" s="34">
        <v>0</v>
      </c>
      <c r="N172" s="25">
        <v>0</v>
      </c>
      <c r="O172" s="34">
        <v>0</v>
      </c>
      <c r="P172" s="34">
        <v>0</v>
      </c>
      <c r="Q172" s="34">
        <v>0</v>
      </c>
      <c r="R172" s="34">
        <v>0</v>
      </c>
      <c r="S172" s="34">
        <v>0</v>
      </c>
      <c r="T172" s="38">
        <v>1035</v>
      </c>
      <c r="U172" s="34">
        <v>0</v>
      </c>
      <c r="V172" s="164"/>
      <c r="W172" s="43" t="s">
        <v>20</v>
      </c>
    </row>
    <row r="173" spans="1:23" x14ac:dyDescent="0.25">
      <c r="A173" s="190"/>
      <c r="B173" s="163"/>
      <c r="C173" s="163"/>
      <c r="D173" s="163"/>
      <c r="E173" s="163"/>
      <c r="F173" s="29" t="s">
        <v>106</v>
      </c>
      <c r="G173" s="25">
        <v>386</v>
      </c>
      <c r="H173" s="38">
        <v>245</v>
      </c>
      <c r="I173" s="25">
        <f t="shared" si="29"/>
        <v>631</v>
      </c>
      <c r="J173" s="34">
        <v>0</v>
      </c>
      <c r="K173" s="34">
        <v>0</v>
      </c>
      <c r="L173" s="34">
        <v>0</v>
      </c>
      <c r="M173" s="34">
        <v>0</v>
      </c>
      <c r="N173" s="25">
        <v>386</v>
      </c>
      <c r="O173" s="34">
        <v>0</v>
      </c>
      <c r="P173" s="34">
        <v>0</v>
      </c>
      <c r="Q173" s="34">
        <v>0</v>
      </c>
      <c r="R173" s="34">
        <v>0</v>
      </c>
      <c r="S173" s="34">
        <v>0</v>
      </c>
      <c r="T173" s="38">
        <v>0</v>
      </c>
      <c r="U173" s="38">
        <v>245</v>
      </c>
      <c r="V173" s="164"/>
      <c r="W173" s="43" t="s">
        <v>20</v>
      </c>
    </row>
    <row r="174" spans="1:23" x14ac:dyDescent="0.25">
      <c r="A174" s="190"/>
      <c r="B174" s="163"/>
      <c r="C174" s="163"/>
      <c r="D174" s="163"/>
      <c r="E174" s="163"/>
      <c r="F174" s="29" t="s">
        <v>26</v>
      </c>
      <c r="G174" s="25">
        <v>724</v>
      </c>
      <c r="H174" s="38">
        <v>881</v>
      </c>
      <c r="I174" s="25">
        <f t="shared" si="29"/>
        <v>1605</v>
      </c>
      <c r="J174" s="34">
        <v>0</v>
      </c>
      <c r="K174" s="34">
        <v>0</v>
      </c>
      <c r="L174" s="34">
        <v>0</v>
      </c>
      <c r="M174" s="34">
        <v>0</v>
      </c>
      <c r="N174" s="25">
        <v>724</v>
      </c>
      <c r="O174" s="34">
        <v>0</v>
      </c>
      <c r="P174" s="34">
        <v>0</v>
      </c>
      <c r="Q174" s="34">
        <v>0</v>
      </c>
      <c r="R174" s="34">
        <v>0</v>
      </c>
      <c r="S174" s="34">
        <v>0</v>
      </c>
      <c r="T174" s="38">
        <v>881</v>
      </c>
      <c r="U174" s="34">
        <v>0</v>
      </c>
      <c r="V174" s="164"/>
      <c r="W174" s="43" t="s">
        <v>20</v>
      </c>
    </row>
    <row r="175" spans="1:23" x14ac:dyDescent="0.25">
      <c r="A175" s="190"/>
      <c r="B175" s="163"/>
      <c r="C175" s="163"/>
      <c r="D175" s="163"/>
      <c r="E175" s="163"/>
      <c r="F175" s="29" t="s">
        <v>17</v>
      </c>
      <c r="G175" s="25">
        <v>125</v>
      </c>
      <c r="H175" s="38">
        <v>151</v>
      </c>
      <c r="I175" s="25">
        <f t="shared" si="29"/>
        <v>276</v>
      </c>
      <c r="J175" s="34">
        <v>0</v>
      </c>
      <c r="K175" s="34">
        <v>0</v>
      </c>
      <c r="L175" s="34">
        <v>0</v>
      </c>
      <c r="M175" s="34">
        <v>0</v>
      </c>
      <c r="N175" s="25">
        <v>125</v>
      </c>
      <c r="O175" s="34">
        <v>0</v>
      </c>
      <c r="P175" s="34">
        <v>0</v>
      </c>
      <c r="Q175" s="34">
        <v>0</v>
      </c>
      <c r="R175" s="34">
        <v>0</v>
      </c>
      <c r="S175" s="34">
        <v>0</v>
      </c>
      <c r="T175" s="25">
        <v>151</v>
      </c>
      <c r="U175" s="34">
        <v>0</v>
      </c>
      <c r="V175" s="164"/>
      <c r="W175" s="43" t="s">
        <v>20</v>
      </c>
    </row>
    <row r="176" spans="1:23" x14ac:dyDescent="0.25">
      <c r="A176" s="190"/>
      <c r="B176" s="163"/>
      <c r="C176" s="163"/>
      <c r="D176" s="163"/>
      <c r="E176" s="163"/>
      <c r="F176" s="29" t="s">
        <v>133</v>
      </c>
      <c r="G176" s="25">
        <v>275</v>
      </c>
      <c r="H176" s="38">
        <v>744</v>
      </c>
      <c r="I176" s="25">
        <f t="shared" si="29"/>
        <v>1019</v>
      </c>
      <c r="J176" s="34">
        <v>0</v>
      </c>
      <c r="K176" s="34">
        <v>0</v>
      </c>
      <c r="L176" s="34">
        <v>0</v>
      </c>
      <c r="M176" s="34">
        <v>0</v>
      </c>
      <c r="N176" s="25">
        <v>275</v>
      </c>
      <c r="O176" s="34">
        <v>0</v>
      </c>
      <c r="P176" s="34">
        <v>0</v>
      </c>
      <c r="Q176" s="34">
        <v>0</v>
      </c>
      <c r="R176" s="34">
        <v>0</v>
      </c>
      <c r="S176" s="34">
        <v>0</v>
      </c>
      <c r="T176" s="25">
        <v>744</v>
      </c>
      <c r="U176" s="34">
        <v>0</v>
      </c>
      <c r="V176" s="164"/>
      <c r="W176" s="43" t="s">
        <v>20</v>
      </c>
    </row>
    <row r="177" spans="1:23" x14ac:dyDescent="0.25">
      <c r="A177" s="190"/>
      <c r="B177" s="163"/>
      <c r="C177" s="163"/>
      <c r="D177" s="163"/>
      <c r="E177" s="163"/>
      <c r="F177" s="29" t="s">
        <v>21</v>
      </c>
      <c r="G177" s="25">
        <v>74</v>
      </c>
      <c r="H177" s="38">
        <v>0</v>
      </c>
      <c r="I177" s="25">
        <f t="shared" si="29"/>
        <v>74</v>
      </c>
      <c r="J177" s="34">
        <v>0</v>
      </c>
      <c r="K177" s="25">
        <v>74</v>
      </c>
      <c r="L177" s="34">
        <v>0</v>
      </c>
      <c r="M177" s="34">
        <v>0</v>
      </c>
      <c r="N177" s="25">
        <v>0</v>
      </c>
      <c r="O177" s="34">
        <v>0</v>
      </c>
      <c r="P177" s="34">
        <v>0</v>
      </c>
      <c r="Q177" s="25">
        <v>0</v>
      </c>
      <c r="R177" s="34">
        <v>0</v>
      </c>
      <c r="S177" s="34">
        <v>0</v>
      </c>
      <c r="T177" s="25">
        <v>0</v>
      </c>
      <c r="U177" s="34">
        <v>0</v>
      </c>
      <c r="V177" s="164"/>
      <c r="W177" s="43" t="s">
        <v>20</v>
      </c>
    </row>
    <row r="178" spans="1:23" x14ac:dyDescent="0.25">
      <c r="A178" s="190"/>
      <c r="B178" s="163"/>
      <c r="C178" s="163"/>
      <c r="D178" s="163"/>
      <c r="E178" s="163"/>
      <c r="F178" s="29" t="s">
        <v>23</v>
      </c>
      <c r="G178" s="25">
        <v>989</v>
      </c>
      <c r="H178" s="38">
        <v>961</v>
      </c>
      <c r="I178" s="25">
        <f t="shared" si="29"/>
        <v>1950</v>
      </c>
      <c r="J178" s="34">
        <v>0</v>
      </c>
      <c r="K178" s="25">
        <v>409</v>
      </c>
      <c r="L178" s="34">
        <v>0</v>
      </c>
      <c r="M178" s="34">
        <v>0</v>
      </c>
      <c r="N178" s="25">
        <v>580</v>
      </c>
      <c r="O178" s="34">
        <v>0</v>
      </c>
      <c r="P178" s="34">
        <v>0</v>
      </c>
      <c r="Q178" s="25">
        <v>136</v>
      </c>
      <c r="R178" s="34">
        <v>0</v>
      </c>
      <c r="S178" s="34">
        <v>0</v>
      </c>
      <c r="T178" s="25">
        <v>825</v>
      </c>
      <c r="U178" s="34">
        <v>0</v>
      </c>
      <c r="V178" s="164"/>
      <c r="W178" s="43" t="s">
        <v>20</v>
      </c>
    </row>
    <row r="179" spans="1:23" x14ac:dyDescent="0.25">
      <c r="A179" s="190"/>
      <c r="B179" s="163"/>
      <c r="C179" s="163"/>
      <c r="D179" s="163"/>
      <c r="E179" s="163"/>
      <c r="F179" s="29" t="s">
        <v>28</v>
      </c>
      <c r="G179" s="25">
        <v>1142</v>
      </c>
      <c r="H179" s="198">
        <v>809</v>
      </c>
      <c r="I179" s="25">
        <f t="shared" si="29"/>
        <v>1951</v>
      </c>
      <c r="J179" s="34">
        <v>0</v>
      </c>
      <c r="K179" s="25">
        <v>277</v>
      </c>
      <c r="L179" s="34">
        <v>0</v>
      </c>
      <c r="M179" s="34">
        <v>0</v>
      </c>
      <c r="N179" s="25">
        <v>865</v>
      </c>
      <c r="O179" s="34">
        <v>0</v>
      </c>
      <c r="P179" s="34">
        <v>0</v>
      </c>
      <c r="Q179" s="25">
        <v>2</v>
      </c>
      <c r="R179" s="34">
        <v>0</v>
      </c>
      <c r="S179" s="34">
        <v>0</v>
      </c>
      <c r="T179" s="25">
        <v>807</v>
      </c>
      <c r="U179" s="34">
        <v>0</v>
      </c>
      <c r="V179" s="164"/>
      <c r="W179" s="43" t="s">
        <v>20</v>
      </c>
    </row>
    <row r="180" spans="1:23" x14ac:dyDescent="0.25">
      <c r="A180" s="190"/>
      <c r="B180" s="163"/>
      <c r="C180" s="163"/>
      <c r="D180" s="163"/>
      <c r="E180" s="163"/>
      <c r="F180" s="29" t="s">
        <v>700</v>
      </c>
      <c r="G180" s="25">
        <v>310</v>
      </c>
      <c r="H180" s="198">
        <v>183</v>
      </c>
      <c r="I180" s="25">
        <f t="shared" si="29"/>
        <v>493</v>
      </c>
      <c r="J180" s="34">
        <v>0</v>
      </c>
      <c r="K180" s="25">
        <v>0</v>
      </c>
      <c r="L180" s="34">
        <v>0</v>
      </c>
      <c r="M180" s="34">
        <v>0</v>
      </c>
      <c r="N180" s="25">
        <v>310</v>
      </c>
      <c r="O180" s="34">
        <v>0</v>
      </c>
      <c r="P180" s="34">
        <v>0</v>
      </c>
      <c r="Q180" s="25">
        <v>0</v>
      </c>
      <c r="R180" s="34">
        <v>0</v>
      </c>
      <c r="S180" s="34">
        <v>0</v>
      </c>
      <c r="T180" s="25">
        <v>183</v>
      </c>
      <c r="U180" s="34">
        <v>0</v>
      </c>
      <c r="V180" s="164"/>
      <c r="W180" s="43" t="s">
        <v>20</v>
      </c>
    </row>
    <row r="181" spans="1:23" x14ac:dyDescent="0.25">
      <c r="A181" s="190"/>
      <c r="B181" s="163"/>
      <c r="C181" s="163"/>
      <c r="D181" s="163"/>
      <c r="E181" s="163"/>
      <c r="F181" s="26" t="s">
        <v>702</v>
      </c>
      <c r="G181" s="27">
        <f>SUM(G168:G180)</f>
        <v>7645</v>
      </c>
      <c r="H181" s="27">
        <f>SUM(H168:H180)</f>
        <v>8514</v>
      </c>
      <c r="I181" s="194">
        <f t="shared" si="29"/>
        <v>16159</v>
      </c>
      <c r="J181" s="27">
        <f t="shared" ref="J181:U181" si="32">SUM(J168:J180)</f>
        <v>0</v>
      </c>
      <c r="K181" s="27">
        <f t="shared" si="32"/>
        <v>760</v>
      </c>
      <c r="L181" s="27">
        <f t="shared" si="32"/>
        <v>0</v>
      </c>
      <c r="M181" s="27">
        <f t="shared" si="32"/>
        <v>0</v>
      </c>
      <c r="N181" s="27">
        <f t="shared" si="32"/>
        <v>6885</v>
      </c>
      <c r="O181" s="27">
        <f t="shared" si="32"/>
        <v>0</v>
      </c>
      <c r="P181" s="27">
        <f t="shared" si="32"/>
        <v>0</v>
      </c>
      <c r="Q181" s="27">
        <f t="shared" si="32"/>
        <v>138</v>
      </c>
      <c r="R181" s="27">
        <f t="shared" si="32"/>
        <v>0</v>
      </c>
      <c r="S181" s="27">
        <f t="shared" si="32"/>
        <v>0</v>
      </c>
      <c r="T181" s="27">
        <f t="shared" si="32"/>
        <v>8131</v>
      </c>
      <c r="U181" s="27">
        <f t="shared" si="32"/>
        <v>245</v>
      </c>
      <c r="V181" s="30"/>
      <c r="W181" s="39"/>
    </row>
    <row r="182" spans="1:23" x14ac:dyDescent="0.25">
      <c r="A182" s="190" t="s">
        <v>789</v>
      </c>
      <c r="B182" s="163">
        <v>2019</v>
      </c>
      <c r="C182" s="163" t="s">
        <v>790</v>
      </c>
      <c r="D182" s="163" t="s">
        <v>825</v>
      </c>
      <c r="E182" s="193" t="s">
        <v>928</v>
      </c>
      <c r="F182" s="28" t="s">
        <v>26</v>
      </c>
      <c r="G182" s="29">
        <v>1850</v>
      </c>
      <c r="H182" s="29">
        <v>1866</v>
      </c>
      <c r="I182" s="25">
        <f t="shared" si="29"/>
        <v>3716</v>
      </c>
      <c r="J182" s="34">
        <v>0</v>
      </c>
      <c r="K182" s="34">
        <v>0</v>
      </c>
      <c r="L182" s="34">
        <v>0</v>
      </c>
      <c r="M182" s="34">
        <v>0</v>
      </c>
      <c r="N182" s="29">
        <v>1850</v>
      </c>
      <c r="O182" s="34">
        <v>0</v>
      </c>
      <c r="P182" s="34">
        <v>0</v>
      </c>
      <c r="Q182" s="34">
        <v>0</v>
      </c>
      <c r="R182" s="34">
        <v>0</v>
      </c>
      <c r="S182" s="34">
        <v>0</v>
      </c>
      <c r="T182" s="29">
        <v>1866</v>
      </c>
      <c r="U182" s="34">
        <v>0</v>
      </c>
      <c r="V182" s="164" t="s">
        <v>11</v>
      </c>
      <c r="W182" s="43" t="s">
        <v>963</v>
      </c>
    </row>
    <row r="183" spans="1:23" x14ac:dyDescent="0.25">
      <c r="A183" s="190"/>
      <c r="B183" s="163"/>
      <c r="C183" s="163"/>
      <c r="D183" s="163"/>
      <c r="E183" s="163"/>
      <c r="F183" s="28" t="s">
        <v>152</v>
      </c>
      <c r="G183" s="29">
        <v>413</v>
      </c>
      <c r="H183" s="29">
        <v>3996</v>
      </c>
      <c r="I183" s="25">
        <f t="shared" si="29"/>
        <v>4409</v>
      </c>
      <c r="J183" s="29">
        <v>413</v>
      </c>
      <c r="K183" s="34">
        <v>0</v>
      </c>
      <c r="L183" s="34">
        <v>0</v>
      </c>
      <c r="M183" s="34">
        <v>0</v>
      </c>
      <c r="N183" s="34">
        <v>0</v>
      </c>
      <c r="O183" s="34">
        <v>0</v>
      </c>
      <c r="P183" s="29">
        <v>3996</v>
      </c>
      <c r="Q183" s="34">
        <v>0</v>
      </c>
      <c r="R183" s="34">
        <v>0</v>
      </c>
      <c r="S183" s="34">
        <v>0</v>
      </c>
      <c r="T183" s="34">
        <v>0</v>
      </c>
      <c r="U183" s="34">
        <v>0</v>
      </c>
      <c r="V183" s="164"/>
      <c r="W183" s="43" t="s">
        <v>981</v>
      </c>
    </row>
    <row r="184" spans="1:23" x14ac:dyDescent="0.25">
      <c r="A184" s="190"/>
      <c r="B184" s="163"/>
      <c r="C184" s="163"/>
      <c r="D184" s="163"/>
      <c r="E184" s="163"/>
      <c r="F184" s="28" t="s">
        <v>151</v>
      </c>
      <c r="G184" s="29">
        <v>197</v>
      </c>
      <c r="H184" s="29">
        <v>3000</v>
      </c>
      <c r="I184" s="25">
        <f t="shared" si="29"/>
        <v>3197</v>
      </c>
      <c r="J184" s="29">
        <v>197</v>
      </c>
      <c r="K184" s="34">
        <v>0</v>
      </c>
      <c r="L184" s="34">
        <v>0</v>
      </c>
      <c r="M184" s="34">
        <v>0</v>
      </c>
      <c r="N184" s="34">
        <v>0</v>
      </c>
      <c r="O184" s="34">
        <v>0</v>
      </c>
      <c r="P184" s="29">
        <v>3000</v>
      </c>
      <c r="Q184" s="34">
        <v>0</v>
      </c>
      <c r="R184" s="34">
        <v>0</v>
      </c>
      <c r="S184" s="34">
        <v>0</v>
      </c>
      <c r="T184" s="34">
        <v>0</v>
      </c>
      <c r="U184" s="34">
        <v>0</v>
      </c>
      <c r="V184" s="164"/>
      <c r="W184" s="43" t="s">
        <v>1004</v>
      </c>
    </row>
    <row r="185" spans="1:23" x14ac:dyDescent="0.25">
      <c r="A185" s="190"/>
      <c r="B185" s="163"/>
      <c r="C185" s="163"/>
      <c r="D185" s="163"/>
      <c r="E185" s="163"/>
      <c r="F185" s="28" t="s">
        <v>149</v>
      </c>
      <c r="G185" s="29">
        <v>281</v>
      </c>
      <c r="H185" s="29">
        <v>5877</v>
      </c>
      <c r="I185" s="25">
        <f t="shared" si="29"/>
        <v>6158</v>
      </c>
      <c r="J185" s="34">
        <v>0</v>
      </c>
      <c r="K185" s="34">
        <v>0</v>
      </c>
      <c r="L185" s="34">
        <v>0</v>
      </c>
      <c r="M185" s="34">
        <v>0</v>
      </c>
      <c r="N185" s="29">
        <v>281</v>
      </c>
      <c r="O185" s="34">
        <v>0</v>
      </c>
      <c r="P185" s="34">
        <v>0</v>
      </c>
      <c r="Q185" s="34">
        <v>0</v>
      </c>
      <c r="R185" s="34">
        <v>0</v>
      </c>
      <c r="S185" s="34">
        <v>0</v>
      </c>
      <c r="T185" s="29">
        <v>5877</v>
      </c>
      <c r="U185" s="34">
        <v>0</v>
      </c>
      <c r="V185" s="164"/>
      <c r="W185" s="43" t="s">
        <v>1005</v>
      </c>
    </row>
    <row r="186" spans="1:23" x14ac:dyDescent="0.25">
      <c r="A186" s="190"/>
      <c r="B186" s="163"/>
      <c r="C186" s="163"/>
      <c r="D186" s="163"/>
      <c r="E186" s="163"/>
      <c r="F186" s="26" t="s">
        <v>702</v>
      </c>
      <c r="G186" s="27">
        <f>SUM(G182:G185)</f>
        <v>2741</v>
      </c>
      <c r="H186" s="27">
        <f>SUM(H182:H185)</f>
        <v>14739</v>
      </c>
      <c r="I186" s="194">
        <f t="shared" si="29"/>
        <v>17480</v>
      </c>
      <c r="J186" s="27">
        <f t="shared" ref="J186:U186" si="33">SUM(J182:J185)</f>
        <v>610</v>
      </c>
      <c r="K186" s="27">
        <f t="shared" si="33"/>
        <v>0</v>
      </c>
      <c r="L186" s="27">
        <f t="shared" si="33"/>
        <v>0</v>
      </c>
      <c r="M186" s="27">
        <f t="shared" si="33"/>
        <v>0</v>
      </c>
      <c r="N186" s="27">
        <f t="shared" si="33"/>
        <v>2131</v>
      </c>
      <c r="O186" s="27">
        <f t="shared" si="33"/>
        <v>0</v>
      </c>
      <c r="P186" s="27">
        <f t="shared" si="33"/>
        <v>6996</v>
      </c>
      <c r="Q186" s="27">
        <f t="shared" si="33"/>
        <v>0</v>
      </c>
      <c r="R186" s="27">
        <f t="shared" si="33"/>
        <v>0</v>
      </c>
      <c r="S186" s="27">
        <f t="shared" si="33"/>
        <v>0</v>
      </c>
      <c r="T186" s="27">
        <f t="shared" si="33"/>
        <v>7743</v>
      </c>
      <c r="U186" s="27">
        <f t="shared" si="33"/>
        <v>0</v>
      </c>
      <c r="V186" s="30"/>
      <c r="W186" s="39"/>
    </row>
    <row r="187" spans="1:23" x14ac:dyDescent="0.25">
      <c r="A187" s="191" t="s">
        <v>791</v>
      </c>
      <c r="B187" s="164">
        <v>2019</v>
      </c>
      <c r="C187" s="163" t="s">
        <v>792</v>
      </c>
      <c r="D187" s="163" t="s">
        <v>824</v>
      </c>
      <c r="E187" s="193" t="s">
        <v>927</v>
      </c>
      <c r="F187" s="28" t="s">
        <v>777</v>
      </c>
      <c r="G187" s="25">
        <v>17008</v>
      </c>
      <c r="H187" s="25">
        <v>37154</v>
      </c>
      <c r="I187" s="25">
        <f t="shared" si="29"/>
        <v>54162</v>
      </c>
      <c r="J187" s="34">
        <v>0</v>
      </c>
      <c r="K187" s="34">
        <v>0</v>
      </c>
      <c r="L187" s="34">
        <v>0</v>
      </c>
      <c r="M187" s="34">
        <v>0</v>
      </c>
      <c r="N187" s="25">
        <v>17008</v>
      </c>
      <c r="O187" s="34">
        <v>0</v>
      </c>
      <c r="P187" s="34">
        <v>0</v>
      </c>
      <c r="Q187" s="34">
        <v>0</v>
      </c>
      <c r="R187" s="34">
        <v>0</v>
      </c>
      <c r="S187" s="34">
        <v>0</v>
      </c>
      <c r="T187" s="25">
        <v>37154</v>
      </c>
      <c r="U187" s="34">
        <v>0</v>
      </c>
      <c r="V187" s="45" t="s">
        <v>11</v>
      </c>
      <c r="W187" s="43" t="s">
        <v>20</v>
      </c>
    </row>
    <row r="188" spans="1:23" x14ac:dyDescent="0.25">
      <c r="A188" s="191"/>
      <c r="B188" s="164"/>
      <c r="C188" s="163"/>
      <c r="D188" s="163"/>
      <c r="E188" s="163"/>
      <c r="F188" s="26" t="s">
        <v>702</v>
      </c>
      <c r="G188" s="27">
        <f>SUM(G187)</f>
        <v>17008</v>
      </c>
      <c r="H188" s="27">
        <f>SUM(H187)</f>
        <v>37154</v>
      </c>
      <c r="I188" s="194">
        <f t="shared" si="29"/>
        <v>54162</v>
      </c>
      <c r="J188" s="27">
        <f t="shared" ref="J188:U188" si="34">SUM(J187)</f>
        <v>0</v>
      </c>
      <c r="K188" s="27">
        <f t="shared" si="34"/>
        <v>0</v>
      </c>
      <c r="L188" s="27">
        <f t="shared" si="34"/>
        <v>0</v>
      </c>
      <c r="M188" s="27">
        <f t="shared" si="34"/>
        <v>0</v>
      </c>
      <c r="N188" s="27">
        <f t="shared" si="34"/>
        <v>17008</v>
      </c>
      <c r="O188" s="27">
        <f t="shared" si="34"/>
        <v>0</v>
      </c>
      <c r="P188" s="27">
        <f t="shared" si="34"/>
        <v>0</v>
      </c>
      <c r="Q188" s="27">
        <f t="shared" si="34"/>
        <v>0</v>
      </c>
      <c r="R188" s="27">
        <f t="shared" si="34"/>
        <v>0</v>
      </c>
      <c r="S188" s="27">
        <f t="shared" si="34"/>
        <v>0</v>
      </c>
      <c r="T188" s="27">
        <f t="shared" si="34"/>
        <v>37154</v>
      </c>
      <c r="U188" s="27">
        <f t="shared" si="34"/>
        <v>0</v>
      </c>
      <c r="V188" s="30"/>
      <c r="W188" s="39"/>
    </row>
    <row r="189" spans="1:23" x14ac:dyDescent="0.25">
      <c r="A189" s="165" t="s">
        <v>793</v>
      </c>
      <c r="B189" s="163">
        <v>2021</v>
      </c>
      <c r="C189" s="163" t="s">
        <v>794</v>
      </c>
      <c r="D189" s="163" t="s">
        <v>823</v>
      </c>
      <c r="E189" s="193" t="s">
        <v>961</v>
      </c>
      <c r="F189" s="28" t="s">
        <v>46</v>
      </c>
      <c r="G189" s="25">
        <v>7002</v>
      </c>
      <c r="H189" s="25">
        <v>181573</v>
      </c>
      <c r="I189" s="25">
        <f t="shared" si="29"/>
        <v>188575</v>
      </c>
      <c r="J189" s="34">
        <v>0</v>
      </c>
      <c r="K189" s="34">
        <v>0</v>
      </c>
      <c r="L189" s="34">
        <v>0</v>
      </c>
      <c r="M189" s="34">
        <v>0</v>
      </c>
      <c r="N189" s="25">
        <v>7002</v>
      </c>
      <c r="O189" s="34">
        <v>0</v>
      </c>
      <c r="P189" s="34">
        <v>0</v>
      </c>
      <c r="Q189" s="34">
        <v>0</v>
      </c>
      <c r="R189" s="34">
        <v>0</v>
      </c>
      <c r="S189" s="34">
        <v>0</v>
      </c>
      <c r="T189" s="34">
        <v>0</v>
      </c>
      <c r="U189" s="25">
        <v>181573</v>
      </c>
      <c r="V189" s="164" t="s">
        <v>11</v>
      </c>
      <c r="W189" s="43" t="s">
        <v>20</v>
      </c>
    </row>
    <row r="190" spans="1:23" x14ac:dyDescent="0.25">
      <c r="A190" s="166"/>
      <c r="B190" s="163"/>
      <c r="C190" s="163"/>
      <c r="D190" s="163"/>
      <c r="E190" s="163"/>
      <c r="F190" s="28" t="s">
        <v>773</v>
      </c>
      <c r="G190" s="25">
        <v>46613</v>
      </c>
      <c r="H190" s="25">
        <v>318246</v>
      </c>
      <c r="I190" s="25">
        <f t="shared" si="29"/>
        <v>364859</v>
      </c>
      <c r="J190" s="34">
        <v>0</v>
      </c>
      <c r="K190" s="34">
        <v>0</v>
      </c>
      <c r="L190" s="34">
        <v>0</v>
      </c>
      <c r="M190" s="34">
        <v>0</v>
      </c>
      <c r="N190" s="25">
        <v>46613</v>
      </c>
      <c r="O190" s="34">
        <v>0</v>
      </c>
      <c r="P190" s="34">
        <v>0</v>
      </c>
      <c r="Q190" s="34">
        <v>0</v>
      </c>
      <c r="R190" s="34">
        <v>0</v>
      </c>
      <c r="S190" s="34">
        <v>0</v>
      </c>
      <c r="T190" s="34">
        <v>0</v>
      </c>
      <c r="U190" s="25">
        <v>318246</v>
      </c>
      <c r="V190" s="164"/>
      <c r="W190" s="43" t="s">
        <v>20</v>
      </c>
    </row>
    <row r="191" spans="1:23" x14ac:dyDescent="0.25">
      <c r="A191" s="166"/>
      <c r="B191" s="163"/>
      <c r="C191" s="163"/>
      <c r="D191" s="163"/>
      <c r="E191" s="163"/>
      <c r="F191" s="28" t="s">
        <v>795</v>
      </c>
      <c r="G191" s="25">
        <v>1156</v>
      </c>
      <c r="H191" s="25">
        <v>7157</v>
      </c>
      <c r="I191" s="25">
        <f t="shared" si="29"/>
        <v>8313</v>
      </c>
      <c r="J191" s="34">
        <v>0</v>
      </c>
      <c r="K191" s="34">
        <v>0</v>
      </c>
      <c r="L191" s="34">
        <v>0</v>
      </c>
      <c r="M191" s="34">
        <v>0</v>
      </c>
      <c r="N191" s="25">
        <v>1156</v>
      </c>
      <c r="O191" s="34">
        <v>0</v>
      </c>
      <c r="P191" s="34">
        <v>0</v>
      </c>
      <c r="Q191" s="34">
        <v>0</v>
      </c>
      <c r="R191" s="34">
        <v>0</v>
      </c>
      <c r="S191" s="34">
        <v>0</v>
      </c>
      <c r="T191" s="25">
        <v>7157</v>
      </c>
      <c r="U191" s="34">
        <v>0</v>
      </c>
      <c r="V191" s="164"/>
      <c r="W191" s="43" t="s">
        <v>1006</v>
      </c>
    </row>
    <row r="192" spans="1:23" x14ac:dyDescent="0.25">
      <c r="A192" s="166"/>
      <c r="B192" s="163"/>
      <c r="C192" s="163"/>
      <c r="D192" s="163"/>
      <c r="E192" s="163"/>
      <c r="F192" s="28" t="s">
        <v>44</v>
      </c>
      <c r="G192" s="25">
        <v>3807</v>
      </c>
      <c r="H192" s="25">
        <v>359839</v>
      </c>
      <c r="I192" s="25">
        <f t="shared" si="29"/>
        <v>363646</v>
      </c>
      <c r="J192" s="34">
        <v>0</v>
      </c>
      <c r="K192" s="34">
        <v>0</v>
      </c>
      <c r="L192" s="34">
        <v>0</v>
      </c>
      <c r="M192" s="34">
        <v>0</v>
      </c>
      <c r="N192" s="34">
        <v>0</v>
      </c>
      <c r="O192" s="25">
        <v>3807</v>
      </c>
      <c r="P192" s="34">
        <v>0</v>
      </c>
      <c r="Q192" s="34">
        <v>0</v>
      </c>
      <c r="R192" s="34">
        <v>0</v>
      </c>
      <c r="S192" s="34">
        <v>0</v>
      </c>
      <c r="T192" s="34">
        <v>0</v>
      </c>
      <c r="U192" s="25">
        <v>359839</v>
      </c>
      <c r="V192" s="164"/>
      <c r="W192" s="43" t="s">
        <v>1007</v>
      </c>
    </row>
    <row r="193" spans="1:23" x14ac:dyDescent="0.25">
      <c r="A193" s="166"/>
      <c r="B193" s="163"/>
      <c r="C193" s="163"/>
      <c r="D193" s="163"/>
      <c r="E193" s="163"/>
      <c r="F193" s="28" t="s">
        <v>96</v>
      </c>
      <c r="G193" s="25">
        <v>600</v>
      </c>
      <c r="H193" s="25">
        <v>36059</v>
      </c>
      <c r="I193" s="25">
        <f t="shared" si="29"/>
        <v>36659</v>
      </c>
      <c r="J193" s="34">
        <v>0</v>
      </c>
      <c r="K193" s="34">
        <v>0</v>
      </c>
      <c r="L193" s="34">
        <v>0</v>
      </c>
      <c r="M193" s="34">
        <v>0</v>
      </c>
      <c r="N193" s="25">
        <v>600</v>
      </c>
      <c r="O193" s="34">
        <v>0</v>
      </c>
      <c r="P193" s="34">
        <v>0</v>
      </c>
      <c r="Q193" s="34">
        <v>0</v>
      </c>
      <c r="R193" s="34">
        <v>0</v>
      </c>
      <c r="S193" s="34">
        <v>0</v>
      </c>
      <c r="T193" s="25">
        <v>36059</v>
      </c>
      <c r="U193" s="34">
        <v>0</v>
      </c>
      <c r="V193" s="164"/>
      <c r="W193" s="43" t="s">
        <v>975</v>
      </c>
    </row>
    <row r="194" spans="1:23" x14ac:dyDescent="0.25">
      <c r="A194" s="166"/>
      <c r="B194" s="163"/>
      <c r="C194" s="163"/>
      <c r="D194" s="163"/>
      <c r="E194" s="163"/>
      <c r="F194" s="28" t="s">
        <v>776</v>
      </c>
      <c r="G194" s="25">
        <v>1638</v>
      </c>
      <c r="H194" s="25">
        <v>6059</v>
      </c>
      <c r="I194" s="25">
        <f t="shared" si="29"/>
        <v>7697</v>
      </c>
      <c r="J194" s="34">
        <v>0</v>
      </c>
      <c r="K194" s="34">
        <v>0</v>
      </c>
      <c r="L194" s="34">
        <v>0</v>
      </c>
      <c r="M194" s="34">
        <v>0</v>
      </c>
      <c r="N194" s="25">
        <v>1638</v>
      </c>
      <c r="O194" s="34">
        <v>0</v>
      </c>
      <c r="P194" s="34">
        <v>0</v>
      </c>
      <c r="Q194" s="34">
        <v>0</v>
      </c>
      <c r="R194" s="34">
        <v>0</v>
      </c>
      <c r="S194" s="34">
        <v>0</v>
      </c>
      <c r="T194" s="25">
        <v>6059</v>
      </c>
      <c r="U194" s="34">
        <v>0</v>
      </c>
      <c r="V194" s="164"/>
      <c r="W194" s="43" t="s">
        <v>20</v>
      </c>
    </row>
    <row r="195" spans="1:23" x14ac:dyDescent="0.25">
      <c r="A195" s="166"/>
      <c r="B195" s="163"/>
      <c r="C195" s="163"/>
      <c r="D195" s="163"/>
      <c r="E195" s="163"/>
      <c r="F195" s="28" t="s">
        <v>67</v>
      </c>
      <c r="G195" s="25">
        <v>320</v>
      </c>
      <c r="H195" s="25">
        <v>750</v>
      </c>
      <c r="I195" s="25">
        <f t="shared" si="29"/>
        <v>1070</v>
      </c>
      <c r="J195" s="34">
        <v>0</v>
      </c>
      <c r="K195" s="34">
        <v>0</v>
      </c>
      <c r="L195" s="34">
        <v>0</v>
      </c>
      <c r="M195" s="34">
        <v>0</v>
      </c>
      <c r="N195" s="25">
        <v>320</v>
      </c>
      <c r="O195" s="34">
        <v>0</v>
      </c>
      <c r="P195" s="34">
        <v>0</v>
      </c>
      <c r="Q195" s="34">
        <v>0</v>
      </c>
      <c r="R195" s="34">
        <v>0</v>
      </c>
      <c r="S195" s="34">
        <v>0</v>
      </c>
      <c r="T195" s="25">
        <v>750</v>
      </c>
      <c r="U195" s="34">
        <v>0</v>
      </c>
      <c r="V195" s="164"/>
      <c r="W195" s="43" t="s">
        <v>20</v>
      </c>
    </row>
    <row r="196" spans="1:23" x14ac:dyDescent="0.25">
      <c r="A196" s="166"/>
      <c r="B196" s="163"/>
      <c r="C196" s="163"/>
      <c r="D196" s="163"/>
      <c r="E196" s="163"/>
      <c r="F196" s="28" t="s">
        <v>69</v>
      </c>
      <c r="G196" s="25">
        <v>224</v>
      </c>
      <c r="H196" s="25">
        <v>6321</v>
      </c>
      <c r="I196" s="25">
        <f t="shared" si="29"/>
        <v>6545</v>
      </c>
      <c r="J196" s="34">
        <v>0</v>
      </c>
      <c r="K196" s="34">
        <v>0</v>
      </c>
      <c r="L196" s="34">
        <v>0</v>
      </c>
      <c r="M196" s="34">
        <v>0</v>
      </c>
      <c r="N196" s="25">
        <v>224</v>
      </c>
      <c r="O196" s="34">
        <v>0</v>
      </c>
      <c r="P196" s="34">
        <v>0</v>
      </c>
      <c r="Q196" s="34">
        <v>0</v>
      </c>
      <c r="R196" s="34">
        <v>0</v>
      </c>
      <c r="S196" s="34">
        <v>0</v>
      </c>
      <c r="T196" s="25">
        <v>6321</v>
      </c>
      <c r="U196" s="34">
        <v>0</v>
      </c>
      <c r="V196" s="164"/>
      <c r="W196" s="43" t="s">
        <v>20</v>
      </c>
    </row>
    <row r="197" spans="1:23" x14ac:dyDescent="0.25">
      <c r="A197" s="166"/>
      <c r="B197" s="163"/>
      <c r="C197" s="163"/>
      <c r="D197" s="163"/>
      <c r="E197" s="163"/>
      <c r="F197" s="28" t="s">
        <v>74</v>
      </c>
      <c r="G197" s="25">
        <v>366</v>
      </c>
      <c r="H197" s="25">
        <v>259</v>
      </c>
      <c r="I197" s="25">
        <f t="shared" si="29"/>
        <v>625</v>
      </c>
      <c r="J197" s="25">
        <v>366</v>
      </c>
      <c r="K197" s="34">
        <v>0</v>
      </c>
      <c r="L197" s="34">
        <v>0</v>
      </c>
      <c r="M197" s="34">
        <v>0</v>
      </c>
      <c r="N197" s="34">
        <v>0</v>
      </c>
      <c r="O197" s="34">
        <v>0</v>
      </c>
      <c r="P197" s="25">
        <v>259</v>
      </c>
      <c r="Q197" s="34">
        <v>0</v>
      </c>
      <c r="R197" s="34">
        <v>0</v>
      </c>
      <c r="S197" s="34">
        <v>0</v>
      </c>
      <c r="T197" s="34">
        <v>0</v>
      </c>
      <c r="U197" s="34">
        <v>0</v>
      </c>
      <c r="V197" s="164"/>
      <c r="W197" s="43" t="s">
        <v>968</v>
      </c>
    </row>
    <row r="198" spans="1:23" x14ac:dyDescent="0.25">
      <c r="A198" s="166"/>
      <c r="B198" s="163"/>
      <c r="C198" s="163"/>
      <c r="D198" s="163"/>
      <c r="E198" s="163"/>
      <c r="F198" s="28" t="s">
        <v>796</v>
      </c>
      <c r="G198" s="25">
        <v>712</v>
      </c>
      <c r="H198" s="25">
        <v>2523</v>
      </c>
      <c r="I198" s="25">
        <f t="shared" si="29"/>
        <v>3235</v>
      </c>
      <c r="J198" s="34">
        <v>0</v>
      </c>
      <c r="K198" s="34">
        <v>0</v>
      </c>
      <c r="L198" s="34">
        <v>0</v>
      </c>
      <c r="M198" s="34">
        <v>0</v>
      </c>
      <c r="N198" s="25">
        <v>712</v>
      </c>
      <c r="O198" s="34">
        <v>0</v>
      </c>
      <c r="P198" s="34">
        <v>0</v>
      </c>
      <c r="Q198" s="34">
        <v>0</v>
      </c>
      <c r="R198" s="34">
        <v>0</v>
      </c>
      <c r="S198" s="34">
        <v>0</v>
      </c>
      <c r="T198" s="25">
        <v>2523</v>
      </c>
      <c r="U198" s="34">
        <v>0</v>
      </c>
      <c r="V198" s="164"/>
      <c r="W198" s="43" t="s">
        <v>1008</v>
      </c>
    </row>
    <row r="199" spans="1:23" x14ac:dyDescent="0.25">
      <c r="A199" s="166"/>
      <c r="B199" s="163"/>
      <c r="C199" s="163"/>
      <c r="D199" s="163"/>
      <c r="E199" s="163"/>
      <c r="F199" s="28" t="s">
        <v>735</v>
      </c>
      <c r="G199" s="25">
        <f>2349+913+2276+894</f>
        <v>6432</v>
      </c>
      <c r="H199" s="25">
        <f>542+744+668+586</f>
        <v>2540</v>
      </c>
      <c r="I199" s="25">
        <f t="shared" ref="I199:I262" si="35">SUM(G199:H199)</f>
        <v>8972</v>
      </c>
      <c r="J199" s="34">
        <v>0</v>
      </c>
      <c r="K199" s="25">
        <v>4627</v>
      </c>
      <c r="L199" s="34">
        <v>0</v>
      </c>
      <c r="M199" s="34">
        <v>0</v>
      </c>
      <c r="N199" s="25">
        <v>1805</v>
      </c>
      <c r="O199" s="34">
        <v>0</v>
      </c>
      <c r="P199" s="34">
        <v>0</v>
      </c>
      <c r="Q199" s="25">
        <v>517</v>
      </c>
      <c r="R199" s="34">
        <v>0</v>
      </c>
      <c r="S199" s="34">
        <v>0</v>
      </c>
      <c r="T199" s="25">
        <v>2023</v>
      </c>
      <c r="U199" s="34">
        <v>0</v>
      </c>
      <c r="V199" s="164"/>
      <c r="W199" s="43" t="s">
        <v>20</v>
      </c>
    </row>
    <row r="200" spans="1:23" x14ac:dyDescent="0.25">
      <c r="A200" s="166"/>
      <c r="B200" s="163"/>
      <c r="C200" s="163"/>
      <c r="D200" s="163"/>
      <c r="E200" s="163"/>
      <c r="F200" s="28" t="s">
        <v>145</v>
      </c>
      <c r="G200" s="25">
        <v>532</v>
      </c>
      <c r="H200" s="25">
        <v>1512</v>
      </c>
      <c r="I200" s="25">
        <f t="shared" si="35"/>
        <v>2044</v>
      </c>
      <c r="J200" s="34">
        <v>0</v>
      </c>
      <c r="K200" s="25">
        <v>70</v>
      </c>
      <c r="L200" s="34">
        <v>0</v>
      </c>
      <c r="M200" s="34">
        <v>0</v>
      </c>
      <c r="N200" s="25">
        <v>462</v>
      </c>
      <c r="O200" s="34">
        <v>0</v>
      </c>
      <c r="P200" s="34">
        <v>0</v>
      </c>
      <c r="Q200" s="25">
        <v>155</v>
      </c>
      <c r="R200" s="34">
        <v>0</v>
      </c>
      <c r="S200" s="34">
        <v>0</v>
      </c>
      <c r="T200" s="25">
        <v>1357</v>
      </c>
      <c r="U200" s="34">
        <v>0</v>
      </c>
      <c r="V200" s="164"/>
      <c r="W200" s="43" t="s">
        <v>20</v>
      </c>
    </row>
    <row r="201" spans="1:23" x14ac:dyDescent="0.25">
      <c r="A201" s="166"/>
      <c r="B201" s="163"/>
      <c r="C201" s="163"/>
      <c r="D201" s="163"/>
      <c r="E201" s="163"/>
      <c r="F201" s="28" t="s">
        <v>156</v>
      </c>
      <c r="G201" s="25">
        <v>268</v>
      </c>
      <c r="H201" s="25">
        <v>173</v>
      </c>
      <c r="I201" s="25">
        <f t="shared" si="35"/>
        <v>441</v>
      </c>
      <c r="J201" s="25">
        <v>268</v>
      </c>
      <c r="K201" s="34">
        <v>0</v>
      </c>
      <c r="L201" s="34">
        <v>0</v>
      </c>
      <c r="M201" s="34">
        <v>0</v>
      </c>
      <c r="N201" s="34">
        <v>0</v>
      </c>
      <c r="O201" s="34">
        <v>0</v>
      </c>
      <c r="P201" s="25">
        <v>173</v>
      </c>
      <c r="Q201" s="25">
        <v>0</v>
      </c>
      <c r="R201" s="34">
        <v>0</v>
      </c>
      <c r="S201" s="34">
        <v>0</v>
      </c>
      <c r="T201" s="34">
        <v>0</v>
      </c>
      <c r="U201" s="34">
        <v>0</v>
      </c>
      <c r="V201" s="164"/>
      <c r="W201" s="43" t="s">
        <v>20</v>
      </c>
    </row>
    <row r="202" spans="1:23" x14ac:dyDescent="0.25">
      <c r="A202" s="166"/>
      <c r="B202" s="163"/>
      <c r="C202" s="163"/>
      <c r="D202" s="163"/>
      <c r="E202" s="163"/>
      <c r="F202" s="28" t="s">
        <v>71</v>
      </c>
      <c r="G202" s="25">
        <v>6</v>
      </c>
      <c r="H202" s="25">
        <v>112</v>
      </c>
      <c r="I202" s="25">
        <f t="shared" si="35"/>
        <v>118</v>
      </c>
      <c r="J202" s="25">
        <v>6</v>
      </c>
      <c r="K202" s="34">
        <v>0</v>
      </c>
      <c r="L202" s="34">
        <v>0</v>
      </c>
      <c r="M202" s="34">
        <v>0</v>
      </c>
      <c r="N202" s="34">
        <v>0</v>
      </c>
      <c r="O202" s="34">
        <v>0</v>
      </c>
      <c r="P202" s="25">
        <v>112</v>
      </c>
      <c r="Q202" s="25">
        <v>0</v>
      </c>
      <c r="R202" s="34">
        <v>0</v>
      </c>
      <c r="S202" s="34">
        <v>0</v>
      </c>
      <c r="T202" s="34">
        <v>0</v>
      </c>
      <c r="U202" s="34">
        <v>0</v>
      </c>
      <c r="V202" s="164"/>
      <c r="W202" s="43" t="s">
        <v>20</v>
      </c>
    </row>
    <row r="203" spans="1:23" x14ac:dyDescent="0.25">
      <c r="A203" s="166"/>
      <c r="B203" s="163"/>
      <c r="C203" s="163"/>
      <c r="D203" s="163"/>
      <c r="E203" s="163"/>
      <c r="F203" s="28" t="s">
        <v>132</v>
      </c>
      <c r="G203" s="25">
        <v>27</v>
      </c>
      <c r="H203" s="25">
        <v>144</v>
      </c>
      <c r="I203" s="25">
        <f t="shared" si="35"/>
        <v>171</v>
      </c>
      <c r="J203" s="34">
        <v>0</v>
      </c>
      <c r="K203" s="34">
        <v>0</v>
      </c>
      <c r="L203" s="34">
        <v>0</v>
      </c>
      <c r="M203" s="34">
        <v>0</v>
      </c>
      <c r="N203" s="25">
        <v>27</v>
      </c>
      <c r="O203" s="34">
        <v>0</v>
      </c>
      <c r="P203" s="34">
        <v>0</v>
      </c>
      <c r="Q203" s="25">
        <v>0</v>
      </c>
      <c r="R203" s="34">
        <v>0</v>
      </c>
      <c r="S203" s="34">
        <v>0</v>
      </c>
      <c r="T203" s="25">
        <v>144</v>
      </c>
      <c r="U203" s="34">
        <v>0</v>
      </c>
      <c r="V203" s="164"/>
      <c r="W203" s="43" t="s">
        <v>20</v>
      </c>
    </row>
    <row r="204" spans="1:23" x14ac:dyDescent="0.25">
      <c r="A204" s="166"/>
      <c r="B204" s="163"/>
      <c r="C204" s="163"/>
      <c r="D204" s="163"/>
      <c r="E204" s="163"/>
      <c r="F204" s="28" t="s">
        <v>72</v>
      </c>
      <c r="G204" s="25">
        <v>9</v>
      </c>
      <c r="H204" s="25">
        <v>141</v>
      </c>
      <c r="I204" s="25">
        <f t="shared" si="35"/>
        <v>150</v>
      </c>
      <c r="J204" s="34">
        <v>0</v>
      </c>
      <c r="K204" s="34">
        <v>0</v>
      </c>
      <c r="L204" s="34">
        <v>0</v>
      </c>
      <c r="M204" s="34">
        <v>0</v>
      </c>
      <c r="N204" s="25">
        <v>9</v>
      </c>
      <c r="O204" s="34">
        <v>0</v>
      </c>
      <c r="P204" s="34">
        <v>0</v>
      </c>
      <c r="Q204" s="25">
        <v>0</v>
      </c>
      <c r="R204" s="34">
        <v>0</v>
      </c>
      <c r="S204" s="34">
        <v>0</v>
      </c>
      <c r="T204" s="25">
        <v>141</v>
      </c>
      <c r="U204" s="34">
        <v>0</v>
      </c>
      <c r="V204" s="164"/>
      <c r="W204" s="43" t="s">
        <v>20</v>
      </c>
    </row>
    <row r="205" spans="1:23" x14ac:dyDescent="0.25">
      <c r="A205" s="166"/>
      <c r="B205" s="163"/>
      <c r="C205" s="163"/>
      <c r="D205" s="163"/>
      <c r="E205" s="163"/>
      <c r="F205" s="28" t="s">
        <v>9</v>
      </c>
      <c r="G205" s="25">
        <v>666</v>
      </c>
      <c r="H205" s="25">
        <v>712</v>
      </c>
      <c r="I205" s="25">
        <f t="shared" si="35"/>
        <v>1378</v>
      </c>
      <c r="J205" s="34">
        <v>0</v>
      </c>
      <c r="K205" s="34">
        <v>0</v>
      </c>
      <c r="L205" s="34">
        <v>0</v>
      </c>
      <c r="M205" s="34">
        <v>0</v>
      </c>
      <c r="N205" s="25">
        <v>666</v>
      </c>
      <c r="O205" s="34">
        <v>0</v>
      </c>
      <c r="P205" s="34">
        <v>0</v>
      </c>
      <c r="Q205" s="25">
        <v>0</v>
      </c>
      <c r="R205" s="34">
        <v>0</v>
      </c>
      <c r="S205" s="34">
        <v>0</v>
      </c>
      <c r="T205" s="25">
        <v>712</v>
      </c>
      <c r="U205" s="34">
        <v>0</v>
      </c>
      <c r="V205" s="164"/>
      <c r="W205" s="43" t="s">
        <v>20</v>
      </c>
    </row>
    <row r="206" spans="1:23" x14ac:dyDescent="0.25">
      <c r="A206" s="166"/>
      <c r="B206" s="163"/>
      <c r="C206" s="163"/>
      <c r="D206" s="163"/>
      <c r="E206" s="163"/>
      <c r="F206" s="28" t="s">
        <v>107</v>
      </c>
      <c r="G206" s="25">
        <f>658+13</f>
        <v>671</v>
      </c>
      <c r="H206" s="25">
        <f>1046+233</f>
        <v>1279</v>
      </c>
      <c r="I206" s="25">
        <f t="shared" si="35"/>
        <v>1950</v>
      </c>
      <c r="J206" s="34">
        <v>0</v>
      </c>
      <c r="K206" s="34">
        <v>0</v>
      </c>
      <c r="L206" s="34">
        <v>0</v>
      </c>
      <c r="M206" s="34">
        <v>0</v>
      </c>
      <c r="N206" s="25">
        <f>658+13</f>
        <v>671</v>
      </c>
      <c r="O206" s="34">
        <v>0</v>
      </c>
      <c r="P206" s="34">
        <v>0</v>
      </c>
      <c r="Q206" s="25">
        <v>0</v>
      </c>
      <c r="R206" s="34">
        <v>0</v>
      </c>
      <c r="S206" s="34">
        <v>0</v>
      </c>
      <c r="T206" s="25">
        <f>1046+233</f>
        <v>1279</v>
      </c>
      <c r="U206" s="34">
        <v>0</v>
      </c>
      <c r="V206" s="164"/>
      <c r="W206" s="43" t="s">
        <v>20</v>
      </c>
    </row>
    <row r="207" spans="1:23" x14ac:dyDescent="0.25">
      <c r="A207" s="166"/>
      <c r="B207" s="163"/>
      <c r="C207" s="163"/>
      <c r="D207" s="163"/>
      <c r="E207" s="163"/>
      <c r="F207" s="28" t="s">
        <v>106</v>
      </c>
      <c r="G207" s="25">
        <v>491</v>
      </c>
      <c r="H207" s="25">
        <v>738</v>
      </c>
      <c r="I207" s="25">
        <f t="shared" si="35"/>
        <v>1229</v>
      </c>
      <c r="J207" s="34">
        <v>0</v>
      </c>
      <c r="K207" s="34">
        <v>0</v>
      </c>
      <c r="L207" s="34">
        <v>0</v>
      </c>
      <c r="M207" s="34">
        <v>0</v>
      </c>
      <c r="N207" s="25">
        <v>491</v>
      </c>
      <c r="O207" s="34">
        <v>0</v>
      </c>
      <c r="P207" s="34">
        <v>0</v>
      </c>
      <c r="Q207" s="25">
        <v>0</v>
      </c>
      <c r="R207" s="34">
        <v>0</v>
      </c>
      <c r="S207" s="34">
        <v>0</v>
      </c>
      <c r="T207" s="25">
        <v>0</v>
      </c>
      <c r="U207" s="25">
        <v>738</v>
      </c>
      <c r="V207" s="164"/>
      <c r="W207" s="43" t="s">
        <v>20</v>
      </c>
    </row>
    <row r="208" spans="1:23" x14ac:dyDescent="0.25">
      <c r="A208" s="166"/>
      <c r="B208" s="163"/>
      <c r="C208" s="163"/>
      <c r="D208" s="163"/>
      <c r="E208" s="163"/>
      <c r="F208" s="28" t="s">
        <v>14</v>
      </c>
      <c r="G208" s="25">
        <v>256</v>
      </c>
      <c r="H208" s="25">
        <v>189</v>
      </c>
      <c r="I208" s="25">
        <f t="shared" si="35"/>
        <v>445</v>
      </c>
      <c r="J208" s="34">
        <v>0</v>
      </c>
      <c r="K208" s="34">
        <v>0</v>
      </c>
      <c r="L208" s="34">
        <v>0</v>
      </c>
      <c r="M208" s="34">
        <v>0</v>
      </c>
      <c r="N208" s="25">
        <v>256</v>
      </c>
      <c r="O208" s="34">
        <v>0</v>
      </c>
      <c r="P208" s="34">
        <v>0</v>
      </c>
      <c r="Q208" s="25">
        <v>0</v>
      </c>
      <c r="R208" s="34">
        <v>0</v>
      </c>
      <c r="S208" s="34">
        <v>0</v>
      </c>
      <c r="T208" s="25">
        <v>189</v>
      </c>
      <c r="U208" s="25">
        <v>0</v>
      </c>
      <c r="V208" s="164"/>
      <c r="W208" s="43" t="s">
        <v>20</v>
      </c>
    </row>
    <row r="209" spans="1:23" x14ac:dyDescent="0.25">
      <c r="A209" s="166"/>
      <c r="B209" s="163"/>
      <c r="C209" s="163"/>
      <c r="D209" s="163"/>
      <c r="E209" s="163"/>
      <c r="F209" s="28" t="s">
        <v>26</v>
      </c>
      <c r="G209" s="25">
        <v>1798</v>
      </c>
      <c r="H209" s="25">
        <v>1568</v>
      </c>
      <c r="I209" s="25">
        <f t="shared" si="35"/>
        <v>3366</v>
      </c>
      <c r="J209" s="34">
        <v>0</v>
      </c>
      <c r="K209" s="34">
        <v>0</v>
      </c>
      <c r="L209" s="34">
        <v>0</v>
      </c>
      <c r="M209" s="34">
        <v>0</v>
      </c>
      <c r="N209" s="25">
        <v>1798</v>
      </c>
      <c r="O209" s="34">
        <v>0</v>
      </c>
      <c r="P209" s="34">
        <v>0</v>
      </c>
      <c r="Q209" s="25">
        <v>0</v>
      </c>
      <c r="R209" s="34">
        <v>0</v>
      </c>
      <c r="S209" s="34">
        <v>0</v>
      </c>
      <c r="T209" s="25">
        <v>1568</v>
      </c>
      <c r="U209" s="25">
        <v>0</v>
      </c>
      <c r="V209" s="164"/>
      <c r="W209" s="43" t="s">
        <v>20</v>
      </c>
    </row>
    <row r="210" spans="1:23" x14ac:dyDescent="0.25">
      <c r="A210" s="166"/>
      <c r="B210" s="163"/>
      <c r="C210" s="163"/>
      <c r="D210" s="163"/>
      <c r="E210" s="163"/>
      <c r="F210" s="28" t="s">
        <v>129</v>
      </c>
      <c r="G210" s="25">
        <v>80</v>
      </c>
      <c r="H210" s="25">
        <v>48</v>
      </c>
      <c r="I210" s="25">
        <f t="shared" si="35"/>
        <v>128</v>
      </c>
      <c r="J210" s="34">
        <v>0</v>
      </c>
      <c r="K210" s="25">
        <v>80</v>
      </c>
      <c r="L210" s="34">
        <v>0</v>
      </c>
      <c r="M210" s="34">
        <v>0</v>
      </c>
      <c r="N210" s="34">
        <v>0</v>
      </c>
      <c r="O210" s="34">
        <v>0</v>
      </c>
      <c r="P210" s="34">
        <v>0</v>
      </c>
      <c r="Q210" s="25">
        <v>48</v>
      </c>
      <c r="R210" s="34">
        <v>0</v>
      </c>
      <c r="S210" s="34">
        <v>0</v>
      </c>
      <c r="T210" s="34">
        <v>0</v>
      </c>
      <c r="U210" s="25">
        <v>0</v>
      </c>
      <c r="V210" s="164"/>
      <c r="W210" s="43" t="s">
        <v>20</v>
      </c>
    </row>
    <row r="211" spans="1:23" x14ac:dyDescent="0.25">
      <c r="A211" s="166"/>
      <c r="B211" s="163"/>
      <c r="C211" s="163"/>
      <c r="D211" s="163"/>
      <c r="E211" s="163"/>
      <c r="F211" s="28" t="s">
        <v>17</v>
      </c>
      <c r="G211" s="25">
        <v>132</v>
      </c>
      <c r="H211" s="25">
        <v>153</v>
      </c>
      <c r="I211" s="25">
        <f t="shared" si="35"/>
        <v>285</v>
      </c>
      <c r="J211" s="34">
        <v>0</v>
      </c>
      <c r="K211" s="34">
        <v>0</v>
      </c>
      <c r="L211" s="34">
        <v>0</v>
      </c>
      <c r="M211" s="34">
        <v>0</v>
      </c>
      <c r="N211" s="25">
        <v>132</v>
      </c>
      <c r="O211" s="34">
        <v>0</v>
      </c>
      <c r="P211" s="34">
        <v>0</v>
      </c>
      <c r="Q211" s="34">
        <v>0</v>
      </c>
      <c r="R211" s="34">
        <v>0</v>
      </c>
      <c r="S211" s="34">
        <v>0</v>
      </c>
      <c r="T211" s="25">
        <v>153</v>
      </c>
      <c r="U211" s="25">
        <v>0</v>
      </c>
      <c r="V211" s="164"/>
      <c r="W211" s="43" t="s">
        <v>20</v>
      </c>
    </row>
    <row r="212" spans="1:23" x14ac:dyDescent="0.25">
      <c r="A212" s="166"/>
      <c r="B212" s="163"/>
      <c r="C212" s="163"/>
      <c r="D212" s="163"/>
      <c r="E212" s="163"/>
      <c r="F212" s="28" t="s">
        <v>19</v>
      </c>
      <c r="G212" s="25">
        <v>696</v>
      </c>
      <c r="H212" s="25">
        <v>762</v>
      </c>
      <c r="I212" s="25">
        <f t="shared" si="35"/>
        <v>1458</v>
      </c>
      <c r="J212" s="34">
        <v>0</v>
      </c>
      <c r="K212" s="34">
        <v>0</v>
      </c>
      <c r="L212" s="34">
        <v>0</v>
      </c>
      <c r="M212" s="34">
        <v>0</v>
      </c>
      <c r="N212" s="25">
        <v>696</v>
      </c>
      <c r="O212" s="34">
        <v>0</v>
      </c>
      <c r="P212" s="34">
        <v>0</v>
      </c>
      <c r="Q212" s="34">
        <v>0</v>
      </c>
      <c r="R212" s="34">
        <v>0</v>
      </c>
      <c r="S212" s="34">
        <v>0</v>
      </c>
      <c r="T212" s="25">
        <v>762</v>
      </c>
      <c r="U212" s="25">
        <v>0</v>
      </c>
      <c r="V212" s="164"/>
      <c r="W212" s="43" t="s">
        <v>20</v>
      </c>
    </row>
    <row r="213" spans="1:23" x14ac:dyDescent="0.25">
      <c r="A213" s="166"/>
      <c r="B213" s="163"/>
      <c r="C213" s="163"/>
      <c r="D213" s="163"/>
      <c r="E213" s="163"/>
      <c r="F213" s="28" t="s">
        <v>133</v>
      </c>
      <c r="G213" s="25">
        <f>295+59</f>
        <v>354</v>
      </c>
      <c r="H213" s="25">
        <f>769+217</f>
        <v>986</v>
      </c>
      <c r="I213" s="25">
        <f t="shared" si="35"/>
        <v>1340</v>
      </c>
      <c r="J213" s="34">
        <v>0</v>
      </c>
      <c r="K213" s="34">
        <v>0</v>
      </c>
      <c r="L213" s="34">
        <v>0</v>
      </c>
      <c r="M213" s="34">
        <v>0</v>
      </c>
      <c r="N213" s="25">
        <f>295+59</f>
        <v>354</v>
      </c>
      <c r="O213" s="34">
        <v>0</v>
      </c>
      <c r="P213" s="34">
        <v>0</v>
      </c>
      <c r="Q213" s="34">
        <v>0</v>
      </c>
      <c r="R213" s="34">
        <v>0</v>
      </c>
      <c r="S213" s="34">
        <v>0</v>
      </c>
      <c r="T213" s="25">
        <f>769+217</f>
        <v>986</v>
      </c>
      <c r="U213" s="25">
        <v>0</v>
      </c>
      <c r="V213" s="164"/>
      <c r="W213" s="43" t="s">
        <v>20</v>
      </c>
    </row>
    <row r="214" spans="1:23" x14ac:dyDescent="0.25">
      <c r="A214" s="166"/>
      <c r="B214" s="163"/>
      <c r="C214" s="163"/>
      <c r="D214" s="163"/>
      <c r="E214" s="163"/>
      <c r="F214" s="28" t="s">
        <v>128</v>
      </c>
      <c r="G214" s="25">
        <v>323</v>
      </c>
      <c r="H214" s="25">
        <v>181</v>
      </c>
      <c r="I214" s="25">
        <f t="shared" si="35"/>
        <v>504</v>
      </c>
      <c r="J214" s="34">
        <v>0</v>
      </c>
      <c r="K214" s="34">
        <v>0</v>
      </c>
      <c r="L214" s="34">
        <v>0</v>
      </c>
      <c r="M214" s="34">
        <v>0</v>
      </c>
      <c r="N214" s="25">
        <v>323</v>
      </c>
      <c r="O214" s="34">
        <v>0</v>
      </c>
      <c r="P214" s="34">
        <v>0</v>
      </c>
      <c r="Q214" s="34">
        <v>0</v>
      </c>
      <c r="R214" s="34">
        <v>0</v>
      </c>
      <c r="S214" s="34">
        <v>0</v>
      </c>
      <c r="T214" s="25">
        <v>181</v>
      </c>
      <c r="U214" s="25">
        <v>0</v>
      </c>
      <c r="V214" s="164"/>
      <c r="W214" s="43" t="s">
        <v>20</v>
      </c>
    </row>
    <row r="215" spans="1:23" x14ac:dyDescent="0.25">
      <c r="A215" s="166"/>
      <c r="B215" s="163"/>
      <c r="C215" s="163"/>
      <c r="D215" s="163"/>
      <c r="E215" s="163"/>
      <c r="F215" s="28" t="s">
        <v>21</v>
      </c>
      <c r="G215" s="25">
        <v>668</v>
      </c>
      <c r="H215" s="25">
        <v>365</v>
      </c>
      <c r="I215" s="25">
        <f t="shared" si="35"/>
        <v>1033</v>
      </c>
      <c r="J215" s="34">
        <v>0</v>
      </c>
      <c r="K215" s="25">
        <v>668</v>
      </c>
      <c r="L215" s="34">
        <v>0</v>
      </c>
      <c r="M215" s="34">
        <v>0</v>
      </c>
      <c r="N215" s="34">
        <v>0</v>
      </c>
      <c r="O215" s="34">
        <v>0</v>
      </c>
      <c r="P215" s="34">
        <v>0</v>
      </c>
      <c r="Q215" s="25">
        <v>365</v>
      </c>
      <c r="R215" s="34">
        <v>0</v>
      </c>
      <c r="S215" s="34">
        <v>0</v>
      </c>
      <c r="T215" s="34">
        <v>0</v>
      </c>
      <c r="U215" s="25">
        <v>0</v>
      </c>
      <c r="V215" s="164"/>
      <c r="W215" s="43" t="s">
        <v>20</v>
      </c>
    </row>
    <row r="216" spans="1:23" x14ac:dyDescent="0.25">
      <c r="A216" s="166"/>
      <c r="B216" s="163"/>
      <c r="C216" s="163"/>
      <c r="D216" s="163"/>
      <c r="E216" s="163"/>
      <c r="F216" s="28" t="s">
        <v>43</v>
      </c>
      <c r="G216" s="25">
        <v>596</v>
      </c>
      <c r="H216" s="25">
        <v>170</v>
      </c>
      <c r="I216" s="25">
        <f t="shared" si="35"/>
        <v>766</v>
      </c>
      <c r="J216" s="34">
        <v>0</v>
      </c>
      <c r="K216" s="34">
        <v>0</v>
      </c>
      <c r="L216" s="34">
        <v>0</v>
      </c>
      <c r="M216" s="34">
        <v>0</v>
      </c>
      <c r="N216" s="25">
        <v>596</v>
      </c>
      <c r="O216" s="34">
        <v>0</v>
      </c>
      <c r="P216" s="34">
        <v>0</v>
      </c>
      <c r="Q216" s="34">
        <v>0</v>
      </c>
      <c r="R216" s="34">
        <v>0</v>
      </c>
      <c r="S216" s="34">
        <v>0</v>
      </c>
      <c r="T216" s="25">
        <v>170</v>
      </c>
      <c r="U216" s="25">
        <v>0</v>
      </c>
      <c r="V216" s="164"/>
      <c r="W216" s="43" t="s">
        <v>20</v>
      </c>
    </row>
    <row r="217" spans="1:23" x14ac:dyDescent="0.25">
      <c r="A217" s="166"/>
      <c r="B217" s="163"/>
      <c r="C217" s="163"/>
      <c r="D217" s="163"/>
      <c r="E217" s="163"/>
      <c r="F217" s="28" t="s">
        <v>23</v>
      </c>
      <c r="G217" s="25">
        <v>1177</v>
      </c>
      <c r="H217" s="25">
        <v>1126</v>
      </c>
      <c r="I217" s="25">
        <f t="shared" si="35"/>
        <v>2303</v>
      </c>
      <c r="J217" s="34">
        <v>0</v>
      </c>
      <c r="K217" s="25">
        <v>409</v>
      </c>
      <c r="L217" s="34">
        <v>0</v>
      </c>
      <c r="M217" s="34">
        <v>0</v>
      </c>
      <c r="N217" s="25">
        <v>768</v>
      </c>
      <c r="O217" s="34">
        <v>0</v>
      </c>
      <c r="P217" s="34">
        <v>0</v>
      </c>
      <c r="Q217" s="25">
        <v>136</v>
      </c>
      <c r="R217" s="34">
        <v>0</v>
      </c>
      <c r="S217" s="34">
        <v>0</v>
      </c>
      <c r="T217" s="25">
        <v>990</v>
      </c>
      <c r="U217" s="25">
        <v>0</v>
      </c>
      <c r="V217" s="164"/>
      <c r="W217" s="43" t="s">
        <v>20</v>
      </c>
    </row>
    <row r="218" spans="1:23" x14ac:dyDescent="0.25">
      <c r="A218" s="166"/>
      <c r="B218" s="163"/>
      <c r="C218" s="163"/>
      <c r="D218" s="163"/>
      <c r="E218" s="163"/>
      <c r="F218" s="28" t="s">
        <v>28</v>
      </c>
      <c r="G218" s="25">
        <v>1255</v>
      </c>
      <c r="H218" s="25">
        <v>829</v>
      </c>
      <c r="I218" s="25">
        <f t="shared" si="35"/>
        <v>2084</v>
      </c>
      <c r="J218" s="34">
        <v>0</v>
      </c>
      <c r="K218" s="25">
        <v>277</v>
      </c>
      <c r="L218" s="34">
        <v>0</v>
      </c>
      <c r="M218" s="34">
        <v>0</v>
      </c>
      <c r="N218" s="25">
        <v>978</v>
      </c>
      <c r="O218" s="34">
        <v>0</v>
      </c>
      <c r="P218" s="34">
        <v>0</v>
      </c>
      <c r="Q218" s="25">
        <v>2</v>
      </c>
      <c r="R218" s="34">
        <v>0</v>
      </c>
      <c r="S218" s="34">
        <v>0</v>
      </c>
      <c r="T218" s="25">
        <v>827</v>
      </c>
      <c r="U218" s="25">
        <v>0</v>
      </c>
      <c r="V218" s="164"/>
      <c r="W218" s="43" t="s">
        <v>20</v>
      </c>
    </row>
    <row r="219" spans="1:23" x14ac:dyDescent="0.25">
      <c r="A219" s="166"/>
      <c r="B219" s="163"/>
      <c r="C219" s="163"/>
      <c r="D219" s="163"/>
      <c r="E219" s="163"/>
      <c r="F219" s="28" t="s">
        <v>700</v>
      </c>
      <c r="G219" s="25">
        <v>377</v>
      </c>
      <c r="H219" s="25">
        <v>281</v>
      </c>
      <c r="I219" s="25">
        <f t="shared" si="35"/>
        <v>658</v>
      </c>
      <c r="J219" s="34">
        <v>0</v>
      </c>
      <c r="K219" s="25">
        <v>0</v>
      </c>
      <c r="L219" s="34">
        <v>0</v>
      </c>
      <c r="M219" s="34">
        <v>0</v>
      </c>
      <c r="N219" s="25">
        <v>377</v>
      </c>
      <c r="O219" s="34">
        <v>0</v>
      </c>
      <c r="P219" s="34">
        <v>0</v>
      </c>
      <c r="Q219" s="25">
        <v>0</v>
      </c>
      <c r="R219" s="34">
        <v>0</v>
      </c>
      <c r="S219" s="34">
        <v>0</v>
      </c>
      <c r="T219" s="25">
        <v>281</v>
      </c>
      <c r="U219" s="25">
        <v>0</v>
      </c>
      <c r="V219" s="164"/>
      <c r="W219" s="43" t="s">
        <v>20</v>
      </c>
    </row>
    <row r="220" spans="1:23" x14ac:dyDescent="0.25">
      <c r="A220" s="166"/>
      <c r="B220" s="163"/>
      <c r="C220" s="163"/>
      <c r="D220" s="163"/>
      <c r="E220" s="163"/>
      <c r="F220" s="28" t="s">
        <v>134</v>
      </c>
      <c r="G220" s="25">
        <v>73</v>
      </c>
      <c r="H220" s="25">
        <v>560</v>
      </c>
      <c r="I220" s="25">
        <f t="shared" si="35"/>
        <v>633</v>
      </c>
      <c r="J220" s="34">
        <v>0</v>
      </c>
      <c r="K220" s="25">
        <v>0</v>
      </c>
      <c r="L220" s="34">
        <v>0</v>
      </c>
      <c r="M220" s="25">
        <v>73</v>
      </c>
      <c r="N220" s="25">
        <v>0</v>
      </c>
      <c r="O220" s="34">
        <v>0</v>
      </c>
      <c r="P220" s="34">
        <v>0</v>
      </c>
      <c r="Q220" s="25">
        <v>0</v>
      </c>
      <c r="R220" s="34">
        <v>0</v>
      </c>
      <c r="S220" s="25">
        <v>560</v>
      </c>
      <c r="T220" s="25">
        <v>0</v>
      </c>
      <c r="U220" s="25">
        <v>0</v>
      </c>
      <c r="V220" s="164"/>
      <c r="W220" s="43" t="s">
        <v>20</v>
      </c>
    </row>
    <row r="221" spans="1:23" x14ac:dyDescent="0.25">
      <c r="A221" s="166"/>
      <c r="B221" s="163"/>
      <c r="C221" s="163"/>
      <c r="D221" s="163"/>
      <c r="E221" s="163"/>
      <c r="F221" s="28" t="s">
        <v>98</v>
      </c>
      <c r="G221" s="25">
        <v>0</v>
      </c>
      <c r="H221" s="25">
        <v>0</v>
      </c>
      <c r="I221" s="25">
        <f t="shared" si="35"/>
        <v>0</v>
      </c>
      <c r="J221" s="34">
        <v>0</v>
      </c>
      <c r="K221" s="25">
        <v>0</v>
      </c>
      <c r="L221" s="34">
        <v>0</v>
      </c>
      <c r="M221" s="34">
        <v>0</v>
      </c>
      <c r="N221" s="34">
        <v>0</v>
      </c>
      <c r="O221" s="34">
        <v>0</v>
      </c>
      <c r="P221" s="34">
        <v>0</v>
      </c>
      <c r="Q221" s="25">
        <v>0</v>
      </c>
      <c r="R221" s="34">
        <v>0</v>
      </c>
      <c r="S221" s="34">
        <v>0</v>
      </c>
      <c r="T221" s="25">
        <v>0</v>
      </c>
      <c r="U221" s="25">
        <v>0</v>
      </c>
      <c r="V221" s="164"/>
      <c r="W221" s="43" t="s">
        <v>20</v>
      </c>
    </row>
    <row r="222" spans="1:23" x14ac:dyDescent="0.25">
      <c r="A222" s="166"/>
      <c r="B222" s="163"/>
      <c r="C222" s="163"/>
      <c r="D222" s="163"/>
      <c r="E222" s="163"/>
      <c r="F222" s="28" t="s">
        <v>32</v>
      </c>
      <c r="G222" s="25">
        <v>277</v>
      </c>
      <c r="H222" s="25">
        <v>169</v>
      </c>
      <c r="I222" s="25">
        <f t="shared" si="35"/>
        <v>446</v>
      </c>
      <c r="J222" s="25">
        <v>277</v>
      </c>
      <c r="K222" s="25">
        <v>0</v>
      </c>
      <c r="L222" s="34">
        <v>0</v>
      </c>
      <c r="M222" s="34">
        <v>0</v>
      </c>
      <c r="N222" s="34">
        <v>0</v>
      </c>
      <c r="O222" s="34">
        <v>0</v>
      </c>
      <c r="P222" s="25">
        <v>169</v>
      </c>
      <c r="Q222" s="25">
        <v>0</v>
      </c>
      <c r="R222" s="34">
        <v>0</v>
      </c>
      <c r="S222" s="34">
        <v>0</v>
      </c>
      <c r="T222" s="25">
        <v>0</v>
      </c>
      <c r="U222" s="25">
        <v>0</v>
      </c>
      <c r="V222" s="164"/>
      <c r="W222" s="43" t="s">
        <v>20</v>
      </c>
    </row>
    <row r="223" spans="1:23" x14ac:dyDescent="0.25">
      <c r="A223" s="166"/>
      <c r="B223" s="163"/>
      <c r="C223" s="163"/>
      <c r="D223" s="163"/>
      <c r="E223" s="163"/>
      <c r="F223" s="28" t="s">
        <v>30</v>
      </c>
      <c r="G223" s="25">
        <v>95</v>
      </c>
      <c r="H223" s="25">
        <v>2708</v>
      </c>
      <c r="I223" s="25">
        <f t="shared" si="35"/>
        <v>2803</v>
      </c>
      <c r="J223" s="25">
        <v>95</v>
      </c>
      <c r="K223" s="25">
        <v>0</v>
      </c>
      <c r="L223" s="34">
        <v>0</v>
      </c>
      <c r="M223" s="34">
        <v>0</v>
      </c>
      <c r="N223" s="34">
        <v>0</v>
      </c>
      <c r="O223" s="34">
        <v>0</v>
      </c>
      <c r="P223" s="25">
        <v>2708</v>
      </c>
      <c r="Q223" s="25">
        <v>0</v>
      </c>
      <c r="R223" s="34">
        <v>0</v>
      </c>
      <c r="S223" s="34">
        <v>0</v>
      </c>
      <c r="T223" s="25">
        <v>0</v>
      </c>
      <c r="U223" s="25">
        <v>0</v>
      </c>
      <c r="V223" s="164"/>
      <c r="W223" s="43" t="s">
        <v>20</v>
      </c>
    </row>
    <row r="224" spans="1:23" x14ac:dyDescent="0.25">
      <c r="A224" s="166"/>
      <c r="B224" s="163"/>
      <c r="C224" s="163"/>
      <c r="D224" s="163"/>
      <c r="E224" s="163"/>
      <c r="F224" s="28" t="s">
        <v>151</v>
      </c>
      <c r="G224" s="25">
        <v>450</v>
      </c>
      <c r="H224" s="25">
        <v>1702</v>
      </c>
      <c r="I224" s="25">
        <f t="shared" si="35"/>
        <v>2152</v>
      </c>
      <c r="J224" s="25">
        <v>450</v>
      </c>
      <c r="K224" s="25">
        <v>0</v>
      </c>
      <c r="L224" s="34">
        <v>0</v>
      </c>
      <c r="M224" s="34">
        <v>0</v>
      </c>
      <c r="N224" s="34">
        <v>0</v>
      </c>
      <c r="O224" s="34">
        <v>0</v>
      </c>
      <c r="P224" s="25">
        <v>1702</v>
      </c>
      <c r="Q224" s="25">
        <v>0</v>
      </c>
      <c r="R224" s="34">
        <v>0</v>
      </c>
      <c r="S224" s="34">
        <v>0</v>
      </c>
      <c r="T224" s="25">
        <v>0</v>
      </c>
      <c r="U224" s="25">
        <v>0</v>
      </c>
      <c r="V224" s="164"/>
      <c r="W224" s="43" t="s">
        <v>20</v>
      </c>
    </row>
    <row r="225" spans="1:23" x14ac:dyDescent="0.25">
      <c r="A225" s="166"/>
      <c r="B225" s="163"/>
      <c r="C225" s="163"/>
      <c r="D225" s="163"/>
      <c r="E225" s="163"/>
      <c r="F225" s="28" t="s">
        <v>152</v>
      </c>
      <c r="G225" s="25">
        <v>330</v>
      </c>
      <c r="H225" s="25">
        <v>3910</v>
      </c>
      <c r="I225" s="25">
        <f t="shared" si="35"/>
        <v>4240</v>
      </c>
      <c r="J225" s="25">
        <v>330</v>
      </c>
      <c r="K225" s="25">
        <v>0</v>
      </c>
      <c r="L225" s="34">
        <v>0</v>
      </c>
      <c r="M225" s="34">
        <v>0</v>
      </c>
      <c r="N225" s="34">
        <v>0</v>
      </c>
      <c r="O225" s="34">
        <v>0</v>
      </c>
      <c r="P225" s="25">
        <v>3910</v>
      </c>
      <c r="Q225" s="25">
        <v>0</v>
      </c>
      <c r="R225" s="34">
        <v>0</v>
      </c>
      <c r="S225" s="34">
        <v>0</v>
      </c>
      <c r="T225" s="25">
        <v>0</v>
      </c>
      <c r="U225" s="25">
        <v>0</v>
      </c>
      <c r="V225" s="164"/>
      <c r="W225" s="43" t="s">
        <v>20</v>
      </c>
    </row>
    <row r="226" spans="1:23" x14ac:dyDescent="0.25">
      <c r="A226" s="166"/>
      <c r="B226" s="163"/>
      <c r="C226" s="163"/>
      <c r="D226" s="163"/>
      <c r="E226" s="163"/>
      <c r="F226" s="28" t="s">
        <v>153</v>
      </c>
      <c r="G226" s="25">
        <v>985</v>
      </c>
      <c r="H226" s="25">
        <v>4985</v>
      </c>
      <c r="I226" s="25">
        <f t="shared" si="35"/>
        <v>5970</v>
      </c>
      <c r="J226" s="25">
        <v>985</v>
      </c>
      <c r="K226" s="25">
        <v>0</v>
      </c>
      <c r="L226" s="34">
        <v>0</v>
      </c>
      <c r="M226" s="34">
        <v>0</v>
      </c>
      <c r="N226" s="34">
        <v>0</v>
      </c>
      <c r="O226" s="34">
        <v>0</v>
      </c>
      <c r="P226" s="25">
        <v>4985</v>
      </c>
      <c r="Q226" s="25">
        <v>0</v>
      </c>
      <c r="R226" s="34">
        <v>0</v>
      </c>
      <c r="S226" s="34">
        <v>0</v>
      </c>
      <c r="T226" s="25">
        <v>0</v>
      </c>
      <c r="U226" s="25">
        <v>0</v>
      </c>
      <c r="V226" s="164"/>
      <c r="W226" s="43" t="s">
        <v>20</v>
      </c>
    </row>
    <row r="227" spans="1:23" x14ac:dyDescent="0.25">
      <c r="A227" s="166"/>
      <c r="B227" s="163"/>
      <c r="C227" s="163"/>
      <c r="D227" s="163"/>
      <c r="E227" s="163"/>
      <c r="F227" s="28" t="s">
        <v>61</v>
      </c>
      <c r="G227" s="25">
        <v>2240</v>
      </c>
      <c r="H227" s="25">
        <v>6631</v>
      </c>
      <c r="I227" s="25">
        <f t="shared" si="35"/>
        <v>8871</v>
      </c>
      <c r="J227" s="34">
        <v>0</v>
      </c>
      <c r="K227" s="34">
        <v>0</v>
      </c>
      <c r="L227" s="34">
        <v>0</v>
      </c>
      <c r="M227" s="34">
        <v>0</v>
      </c>
      <c r="N227" s="25">
        <v>2240</v>
      </c>
      <c r="O227" s="34">
        <v>0</v>
      </c>
      <c r="P227" s="34">
        <v>0</v>
      </c>
      <c r="Q227" s="25">
        <v>0</v>
      </c>
      <c r="R227" s="34">
        <v>0</v>
      </c>
      <c r="S227" s="34">
        <v>0</v>
      </c>
      <c r="T227" s="25">
        <v>6631</v>
      </c>
      <c r="U227" s="25">
        <v>0</v>
      </c>
      <c r="V227" s="164"/>
      <c r="W227" s="43" t="s">
        <v>20</v>
      </c>
    </row>
    <row r="228" spans="1:23" x14ac:dyDescent="0.25">
      <c r="A228" s="166"/>
      <c r="B228" s="163"/>
      <c r="C228" s="163"/>
      <c r="D228" s="163"/>
      <c r="E228" s="163"/>
      <c r="F228" s="28" t="s">
        <v>736</v>
      </c>
      <c r="G228" s="25">
        <v>3177</v>
      </c>
      <c r="H228" s="25">
        <v>7277</v>
      </c>
      <c r="I228" s="25">
        <f t="shared" si="35"/>
        <v>10454</v>
      </c>
      <c r="J228" s="34">
        <v>0</v>
      </c>
      <c r="K228" s="34">
        <v>0</v>
      </c>
      <c r="L228" s="34">
        <v>0</v>
      </c>
      <c r="M228" s="34">
        <v>0</v>
      </c>
      <c r="N228" s="25">
        <v>3177</v>
      </c>
      <c r="O228" s="34">
        <v>0</v>
      </c>
      <c r="P228" s="34">
        <v>0</v>
      </c>
      <c r="Q228" s="25">
        <v>0</v>
      </c>
      <c r="R228" s="34">
        <v>0</v>
      </c>
      <c r="S228" s="34">
        <v>0</v>
      </c>
      <c r="T228" s="25">
        <v>7277</v>
      </c>
      <c r="U228" s="25">
        <v>0</v>
      </c>
      <c r="V228" s="164"/>
      <c r="W228" s="43" t="s">
        <v>20</v>
      </c>
    </row>
    <row r="229" spans="1:23" x14ac:dyDescent="0.25">
      <c r="A229" s="166"/>
      <c r="B229" s="163"/>
      <c r="C229" s="163"/>
      <c r="D229" s="163"/>
      <c r="E229" s="163"/>
      <c r="F229" s="28" t="s">
        <v>48</v>
      </c>
      <c r="G229" s="25">
        <v>1798</v>
      </c>
      <c r="H229" s="25">
        <v>72206</v>
      </c>
      <c r="I229" s="25">
        <f t="shared" si="35"/>
        <v>74004</v>
      </c>
      <c r="J229" s="34">
        <v>0</v>
      </c>
      <c r="K229" s="34">
        <v>0</v>
      </c>
      <c r="L229" s="34">
        <v>0</v>
      </c>
      <c r="M229" s="34">
        <v>0</v>
      </c>
      <c r="N229" s="25">
        <v>1798</v>
      </c>
      <c r="O229" s="34">
        <v>0</v>
      </c>
      <c r="P229" s="34">
        <v>0</v>
      </c>
      <c r="Q229" s="25">
        <v>0</v>
      </c>
      <c r="R229" s="34">
        <v>0</v>
      </c>
      <c r="S229" s="34">
        <v>0</v>
      </c>
      <c r="T229" s="34">
        <v>0</v>
      </c>
      <c r="U229" s="25">
        <v>72206</v>
      </c>
      <c r="V229" s="164"/>
      <c r="W229" s="43" t="s">
        <v>20</v>
      </c>
    </row>
    <row r="230" spans="1:23" x14ac:dyDescent="0.25">
      <c r="A230" s="166"/>
      <c r="B230" s="163"/>
      <c r="C230" s="163"/>
      <c r="D230" s="163"/>
      <c r="E230" s="163"/>
      <c r="F230" s="28" t="s">
        <v>39</v>
      </c>
      <c r="G230" s="25">
        <v>4120</v>
      </c>
      <c r="H230" s="25">
        <v>3289</v>
      </c>
      <c r="I230" s="25">
        <f t="shared" si="35"/>
        <v>7409</v>
      </c>
      <c r="J230" s="34">
        <v>0</v>
      </c>
      <c r="K230" s="34">
        <v>0</v>
      </c>
      <c r="L230" s="34">
        <v>0</v>
      </c>
      <c r="M230" s="34">
        <v>0</v>
      </c>
      <c r="N230" s="25">
        <v>4120</v>
      </c>
      <c r="O230" s="34">
        <v>0</v>
      </c>
      <c r="P230" s="34">
        <v>0</v>
      </c>
      <c r="Q230" s="25">
        <v>0</v>
      </c>
      <c r="R230" s="34">
        <v>0</v>
      </c>
      <c r="S230" s="34">
        <v>0</v>
      </c>
      <c r="T230" s="25">
        <v>3289</v>
      </c>
      <c r="U230" s="34">
        <v>0</v>
      </c>
      <c r="V230" s="164"/>
      <c r="W230" s="43" t="s">
        <v>20</v>
      </c>
    </row>
    <row r="231" spans="1:23" x14ac:dyDescent="0.25">
      <c r="A231" s="167"/>
      <c r="B231" s="163"/>
      <c r="C231" s="163"/>
      <c r="D231" s="163"/>
      <c r="E231" s="163"/>
      <c r="F231" s="26" t="s">
        <v>702</v>
      </c>
      <c r="G231" s="27">
        <f>SUM(G189:G230)</f>
        <v>92797</v>
      </c>
      <c r="H231" s="27">
        <f>SUM(H189:H230)</f>
        <v>1036232</v>
      </c>
      <c r="I231" s="194">
        <f t="shared" si="35"/>
        <v>1129029</v>
      </c>
      <c r="J231" s="27">
        <f t="shared" ref="J231:U231" si="36">SUM(J189:J230)</f>
        <v>2777</v>
      </c>
      <c r="K231" s="27">
        <f t="shared" si="36"/>
        <v>6131</v>
      </c>
      <c r="L231" s="27">
        <f t="shared" si="36"/>
        <v>0</v>
      </c>
      <c r="M231" s="27">
        <f t="shared" si="36"/>
        <v>73</v>
      </c>
      <c r="N231" s="27">
        <f t="shared" si="36"/>
        <v>80009</v>
      </c>
      <c r="O231" s="27">
        <f t="shared" si="36"/>
        <v>3807</v>
      </c>
      <c r="P231" s="27">
        <f t="shared" si="36"/>
        <v>14018</v>
      </c>
      <c r="Q231" s="27">
        <f t="shared" si="36"/>
        <v>1223</v>
      </c>
      <c r="R231" s="27">
        <f t="shared" si="36"/>
        <v>0</v>
      </c>
      <c r="S231" s="27">
        <f t="shared" si="36"/>
        <v>560</v>
      </c>
      <c r="T231" s="27">
        <f t="shared" si="36"/>
        <v>87829</v>
      </c>
      <c r="U231" s="27">
        <f t="shared" si="36"/>
        <v>932602</v>
      </c>
      <c r="V231" s="30"/>
      <c r="W231" s="39"/>
    </row>
    <row r="232" spans="1:23" x14ac:dyDescent="0.25">
      <c r="A232" s="165" t="s">
        <v>797</v>
      </c>
      <c r="B232" s="163">
        <v>2021</v>
      </c>
      <c r="C232" s="163" t="s">
        <v>798</v>
      </c>
      <c r="D232" s="163" t="s">
        <v>822</v>
      </c>
      <c r="E232" s="193" t="s">
        <v>933</v>
      </c>
      <c r="F232" s="29" t="s">
        <v>787</v>
      </c>
      <c r="G232" s="29">
        <v>311</v>
      </c>
      <c r="H232" s="29">
        <v>1555</v>
      </c>
      <c r="I232" s="25">
        <f t="shared" si="35"/>
        <v>1866</v>
      </c>
      <c r="J232" s="34">
        <v>0</v>
      </c>
      <c r="K232" s="34">
        <v>0</v>
      </c>
      <c r="L232" s="34">
        <v>0</v>
      </c>
      <c r="M232" s="34">
        <v>0</v>
      </c>
      <c r="N232" s="29">
        <v>311</v>
      </c>
      <c r="O232" s="34">
        <v>0</v>
      </c>
      <c r="P232" s="34">
        <v>0</v>
      </c>
      <c r="Q232" s="34">
        <v>0</v>
      </c>
      <c r="R232" s="34">
        <v>0</v>
      </c>
      <c r="S232" s="34">
        <v>0</v>
      </c>
      <c r="T232" s="29">
        <v>1555</v>
      </c>
      <c r="U232" s="34">
        <v>0</v>
      </c>
      <c r="V232" s="164" t="s">
        <v>50</v>
      </c>
      <c r="W232" s="43" t="s">
        <v>20</v>
      </c>
    </row>
    <row r="233" spans="1:23" x14ac:dyDescent="0.25">
      <c r="A233" s="166"/>
      <c r="B233" s="163"/>
      <c r="C233" s="163"/>
      <c r="D233" s="163"/>
      <c r="E233" s="163"/>
      <c r="F233" s="29" t="s">
        <v>932</v>
      </c>
      <c r="G233" s="29">
        <v>2524</v>
      </c>
      <c r="H233" s="29">
        <v>1074</v>
      </c>
      <c r="I233" s="25">
        <f t="shared" si="35"/>
        <v>3598</v>
      </c>
      <c r="J233" s="34">
        <v>0</v>
      </c>
      <c r="K233" s="34">
        <v>0</v>
      </c>
      <c r="L233" s="34">
        <v>0</v>
      </c>
      <c r="M233" s="34">
        <v>0</v>
      </c>
      <c r="N233" s="29">
        <v>2524</v>
      </c>
      <c r="O233" s="34">
        <v>0</v>
      </c>
      <c r="P233" s="34">
        <v>0</v>
      </c>
      <c r="Q233" s="34">
        <v>0</v>
      </c>
      <c r="R233" s="34">
        <v>0</v>
      </c>
      <c r="S233" s="34">
        <v>0</v>
      </c>
      <c r="T233" s="29">
        <v>1074</v>
      </c>
      <c r="U233" s="34">
        <v>0</v>
      </c>
      <c r="V233" s="164"/>
      <c r="W233" s="43" t="s">
        <v>20</v>
      </c>
    </row>
    <row r="234" spans="1:23" x14ac:dyDescent="0.25">
      <c r="A234" s="166"/>
      <c r="B234" s="163"/>
      <c r="C234" s="163"/>
      <c r="D234" s="163"/>
      <c r="E234" s="163"/>
      <c r="F234" s="29" t="s">
        <v>156</v>
      </c>
      <c r="G234" s="29">
        <v>138</v>
      </c>
      <c r="H234" s="29">
        <v>172</v>
      </c>
      <c r="I234" s="25">
        <f t="shared" si="35"/>
        <v>310</v>
      </c>
      <c r="J234" s="29">
        <v>138</v>
      </c>
      <c r="K234" s="34">
        <v>0</v>
      </c>
      <c r="L234" s="34">
        <v>0</v>
      </c>
      <c r="M234" s="34">
        <v>0</v>
      </c>
      <c r="N234" s="34">
        <v>0</v>
      </c>
      <c r="O234" s="34">
        <v>0</v>
      </c>
      <c r="P234" s="29">
        <v>172</v>
      </c>
      <c r="Q234" s="34">
        <v>0</v>
      </c>
      <c r="R234" s="34">
        <v>0</v>
      </c>
      <c r="S234" s="34">
        <v>0</v>
      </c>
      <c r="T234" s="34">
        <v>0</v>
      </c>
      <c r="U234" s="34">
        <v>0</v>
      </c>
      <c r="V234" s="164"/>
      <c r="W234" s="43" t="s">
        <v>20</v>
      </c>
    </row>
    <row r="235" spans="1:23" x14ac:dyDescent="0.25">
      <c r="A235" s="166"/>
      <c r="B235" s="163"/>
      <c r="C235" s="163"/>
      <c r="D235" s="163"/>
      <c r="E235" s="163"/>
      <c r="F235" s="33" t="s">
        <v>9</v>
      </c>
      <c r="G235" s="29">
        <v>647</v>
      </c>
      <c r="H235" s="29">
        <v>704</v>
      </c>
      <c r="I235" s="25">
        <f t="shared" si="35"/>
        <v>1351</v>
      </c>
      <c r="J235" s="34">
        <v>0</v>
      </c>
      <c r="K235" s="34">
        <v>0</v>
      </c>
      <c r="L235" s="34">
        <v>0</v>
      </c>
      <c r="M235" s="34">
        <v>0</v>
      </c>
      <c r="N235" s="29">
        <v>647</v>
      </c>
      <c r="O235" s="34">
        <v>0</v>
      </c>
      <c r="P235" s="34">
        <v>0</v>
      </c>
      <c r="Q235" s="34">
        <v>0</v>
      </c>
      <c r="R235" s="34">
        <v>0</v>
      </c>
      <c r="S235" s="34">
        <v>0</v>
      </c>
      <c r="T235" s="29">
        <v>704</v>
      </c>
      <c r="U235" s="34">
        <v>0</v>
      </c>
      <c r="V235" s="164"/>
      <c r="W235" s="43" t="s">
        <v>20</v>
      </c>
    </row>
    <row r="236" spans="1:23" x14ac:dyDescent="0.25">
      <c r="A236" s="166"/>
      <c r="B236" s="163"/>
      <c r="C236" s="163"/>
      <c r="D236" s="163"/>
      <c r="E236" s="163"/>
      <c r="F236" s="33" t="s">
        <v>107</v>
      </c>
      <c r="G236" s="29">
        <v>0</v>
      </c>
      <c r="H236" s="29">
        <v>1035</v>
      </c>
      <c r="I236" s="25">
        <f t="shared" si="35"/>
        <v>1035</v>
      </c>
      <c r="J236" s="34">
        <v>0</v>
      </c>
      <c r="K236" s="34">
        <v>0</v>
      </c>
      <c r="L236" s="34">
        <v>0</v>
      </c>
      <c r="M236" s="34">
        <v>0</v>
      </c>
      <c r="N236" s="29">
        <v>0</v>
      </c>
      <c r="O236" s="34">
        <v>0</v>
      </c>
      <c r="P236" s="34">
        <v>0</v>
      </c>
      <c r="Q236" s="34">
        <v>0</v>
      </c>
      <c r="R236" s="34">
        <v>0</v>
      </c>
      <c r="S236" s="34">
        <v>0</v>
      </c>
      <c r="T236" s="29">
        <v>1035</v>
      </c>
      <c r="U236" s="34">
        <v>0</v>
      </c>
      <c r="V236" s="164"/>
      <c r="W236" s="43" t="s">
        <v>20</v>
      </c>
    </row>
    <row r="237" spans="1:23" x14ac:dyDescent="0.25">
      <c r="A237" s="166"/>
      <c r="B237" s="163"/>
      <c r="C237" s="163"/>
      <c r="D237" s="163"/>
      <c r="E237" s="163"/>
      <c r="F237" s="33" t="s">
        <v>106</v>
      </c>
      <c r="G237" s="29">
        <v>386</v>
      </c>
      <c r="H237" s="29">
        <v>245</v>
      </c>
      <c r="I237" s="25">
        <f t="shared" si="35"/>
        <v>631</v>
      </c>
      <c r="J237" s="34">
        <v>0</v>
      </c>
      <c r="K237" s="34">
        <v>0</v>
      </c>
      <c r="L237" s="34">
        <v>0</v>
      </c>
      <c r="M237" s="34">
        <v>0</v>
      </c>
      <c r="N237" s="29">
        <v>386</v>
      </c>
      <c r="O237" s="34">
        <v>0</v>
      </c>
      <c r="P237" s="34">
        <v>0</v>
      </c>
      <c r="Q237" s="34">
        <v>0</v>
      </c>
      <c r="R237" s="34">
        <v>0</v>
      </c>
      <c r="S237" s="34">
        <v>0</v>
      </c>
      <c r="T237" s="29">
        <v>0</v>
      </c>
      <c r="U237" s="29">
        <v>245</v>
      </c>
      <c r="V237" s="164"/>
      <c r="W237" s="43" t="s">
        <v>20</v>
      </c>
    </row>
    <row r="238" spans="1:23" x14ac:dyDescent="0.25">
      <c r="A238" s="166"/>
      <c r="B238" s="163"/>
      <c r="C238" s="163"/>
      <c r="D238" s="163"/>
      <c r="E238" s="163"/>
      <c r="F238" s="33" t="s">
        <v>26</v>
      </c>
      <c r="G238" s="29">
        <v>724</v>
      </c>
      <c r="H238" s="29">
        <v>881</v>
      </c>
      <c r="I238" s="25">
        <f t="shared" si="35"/>
        <v>1605</v>
      </c>
      <c r="J238" s="34">
        <v>0</v>
      </c>
      <c r="K238" s="34">
        <v>0</v>
      </c>
      <c r="L238" s="34">
        <v>0</v>
      </c>
      <c r="M238" s="34">
        <v>0</v>
      </c>
      <c r="N238" s="29">
        <v>724</v>
      </c>
      <c r="O238" s="34">
        <v>0</v>
      </c>
      <c r="P238" s="34">
        <v>0</v>
      </c>
      <c r="Q238" s="34">
        <v>0</v>
      </c>
      <c r="R238" s="34">
        <v>0</v>
      </c>
      <c r="S238" s="34">
        <v>0</v>
      </c>
      <c r="T238" s="29">
        <v>881</v>
      </c>
      <c r="U238" s="34">
        <v>0</v>
      </c>
      <c r="V238" s="164"/>
      <c r="W238" s="43" t="s">
        <v>20</v>
      </c>
    </row>
    <row r="239" spans="1:23" x14ac:dyDescent="0.25">
      <c r="A239" s="166"/>
      <c r="B239" s="163"/>
      <c r="C239" s="163"/>
      <c r="D239" s="163"/>
      <c r="E239" s="163"/>
      <c r="F239" s="33" t="s">
        <v>17</v>
      </c>
      <c r="G239" s="29">
        <v>125</v>
      </c>
      <c r="H239" s="29">
        <v>151</v>
      </c>
      <c r="I239" s="25">
        <f t="shared" si="35"/>
        <v>276</v>
      </c>
      <c r="J239" s="34">
        <v>0</v>
      </c>
      <c r="K239" s="34">
        <v>0</v>
      </c>
      <c r="L239" s="34">
        <v>0</v>
      </c>
      <c r="M239" s="34">
        <v>0</v>
      </c>
      <c r="N239" s="29">
        <v>125</v>
      </c>
      <c r="O239" s="34">
        <v>0</v>
      </c>
      <c r="P239" s="34">
        <v>0</v>
      </c>
      <c r="Q239" s="34">
        <v>0</v>
      </c>
      <c r="R239" s="34">
        <v>0</v>
      </c>
      <c r="S239" s="34">
        <v>0</v>
      </c>
      <c r="T239" s="29">
        <v>151</v>
      </c>
      <c r="U239" s="34">
        <v>0</v>
      </c>
      <c r="V239" s="164"/>
      <c r="W239" s="43" t="s">
        <v>20</v>
      </c>
    </row>
    <row r="240" spans="1:23" x14ac:dyDescent="0.25">
      <c r="A240" s="166"/>
      <c r="B240" s="163"/>
      <c r="C240" s="163"/>
      <c r="D240" s="163"/>
      <c r="E240" s="163"/>
      <c r="F240" s="33" t="s">
        <v>133</v>
      </c>
      <c r="G240" s="29">
        <v>275</v>
      </c>
      <c r="H240" s="29">
        <v>744</v>
      </c>
      <c r="I240" s="25">
        <f t="shared" si="35"/>
        <v>1019</v>
      </c>
      <c r="J240" s="34">
        <v>0</v>
      </c>
      <c r="K240" s="34">
        <v>0</v>
      </c>
      <c r="L240" s="34">
        <v>0</v>
      </c>
      <c r="M240" s="34">
        <v>0</v>
      </c>
      <c r="N240" s="29">
        <v>275</v>
      </c>
      <c r="O240" s="34">
        <v>0</v>
      </c>
      <c r="P240" s="34">
        <v>0</v>
      </c>
      <c r="Q240" s="34">
        <v>0</v>
      </c>
      <c r="R240" s="34">
        <v>0</v>
      </c>
      <c r="S240" s="34">
        <v>0</v>
      </c>
      <c r="T240" s="29">
        <v>744</v>
      </c>
      <c r="U240" s="34">
        <v>0</v>
      </c>
      <c r="V240" s="164"/>
      <c r="W240" s="43" t="s">
        <v>20</v>
      </c>
    </row>
    <row r="241" spans="1:23" x14ac:dyDescent="0.25">
      <c r="A241" s="166"/>
      <c r="B241" s="163"/>
      <c r="C241" s="163"/>
      <c r="D241" s="163"/>
      <c r="E241" s="163"/>
      <c r="F241" s="29" t="s">
        <v>21</v>
      </c>
      <c r="G241" s="29">
        <v>74</v>
      </c>
      <c r="H241" s="29">
        <v>0</v>
      </c>
      <c r="I241" s="25">
        <f t="shared" si="35"/>
        <v>74</v>
      </c>
      <c r="J241" s="34">
        <v>0</v>
      </c>
      <c r="K241" s="29">
        <v>74</v>
      </c>
      <c r="L241" s="34">
        <v>0</v>
      </c>
      <c r="M241" s="34">
        <v>0</v>
      </c>
      <c r="N241" s="34">
        <v>0</v>
      </c>
      <c r="O241" s="34">
        <v>0</v>
      </c>
      <c r="P241" s="34">
        <v>0</v>
      </c>
      <c r="Q241" s="34">
        <v>0</v>
      </c>
      <c r="R241" s="34">
        <v>0</v>
      </c>
      <c r="S241" s="34">
        <v>0</v>
      </c>
      <c r="T241" s="34">
        <v>0</v>
      </c>
      <c r="U241" s="34">
        <v>0</v>
      </c>
      <c r="V241" s="164"/>
      <c r="W241" s="43" t="s">
        <v>20</v>
      </c>
    </row>
    <row r="242" spans="1:23" x14ac:dyDescent="0.25">
      <c r="A242" s="166"/>
      <c r="B242" s="163"/>
      <c r="C242" s="163"/>
      <c r="D242" s="163"/>
      <c r="E242" s="163"/>
      <c r="F242" s="29" t="s">
        <v>23</v>
      </c>
      <c r="G242" s="29">
        <v>989</v>
      </c>
      <c r="H242" s="29">
        <v>961</v>
      </c>
      <c r="I242" s="25">
        <f t="shared" si="35"/>
        <v>1950</v>
      </c>
      <c r="J242" s="34">
        <v>0</v>
      </c>
      <c r="K242" s="25">
        <v>409</v>
      </c>
      <c r="L242" s="34">
        <v>0</v>
      </c>
      <c r="M242" s="34">
        <v>0</v>
      </c>
      <c r="N242" s="25">
        <v>580</v>
      </c>
      <c r="O242" s="34">
        <v>0</v>
      </c>
      <c r="P242" s="34">
        <v>0</v>
      </c>
      <c r="Q242" s="25">
        <v>136</v>
      </c>
      <c r="R242" s="34">
        <v>0</v>
      </c>
      <c r="S242" s="34">
        <v>0</v>
      </c>
      <c r="T242" s="25">
        <v>825</v>
      </c>
      <c r="U242" s="34">
        <v>0</v>
      </c>
      <c r="V242" s="164"/>
      <c r="W242" s="43" t="s">
        <v>20</v>
      </c>
    </row>
    <row r="243" spans="1:23" x14ac:dyDescent="0.25">
      <c r="A243" s="166"/>
      <c r="B243" s="163"/>
      <c r="C243" s="163"/>
      <c r="D243" s="163"/>
      <c r="E243" s="163"/>
      <c r="F243" s="29" t="s">
        <v>28</v>
      </c>
      <c r="G243" s="29">
        <v>1142</v>
      </c>
      <c r="H243" s="29">
        <v>809</v>
      </c>
      <c r="I243" s="25">
        <f t="shared" si="35"/>
        <v>1951</v>
      </c>
      <c r="J243" s="34">
        <v>0</v>
      </c>
      <c r="K243" s="25">
        <v>277</v>
      </c>
      <c r="L243" s="34">
        <v>0</v>
      </c>
      <c r="M243" s="34">
        <v>0</v>
      </c>
      <c r="N243" s="25">
        <v>865</v>
      </c>
      <c r="O243" s="34">
        <v>0</v>
      </c>
      <c r="P243" s="34">
        <v>0</v>
      </c>
      <c r="Q243" s="25">
        <v>2</v>
      </c>
      <c r="R243" s="34">
        <v>0</v>
      </c>
      <c r="S243" s="34">
        <v>0</v>
      </c>
      <c r="T243" s="25">
        <v>807</v>
      </c>
      <c r="U243" s="34">
        <v>0</v>
      </c>
      <c r="V243" s="164"/>
      <c r="W243" s="43" t="s">
        <v>20</v>
      </c>
    </row>
    <row r="244" spans="1:23" x14ac:dyDescent="0.25">
      <c r="A244" s="166"/>
      <c r="B244" s="163"/>
      <c r="C244" s="163"/>
      <c r="D244" s="163"/>
      <c r="E244" s="163"/>
      <c r="F244" s="29" t="s">
        <v>700</v>
      </c>
      <c r="G244" s="29">
        <v>310</v>
      </c>
      <c r="H244" s="29">
        <v>183</v>
      </c>
      <c r="I244" s="25">
        <f t="shared" si="35"/>
        <v>493</v>
      </c>
      <c r="J244" s="34">
        <v>0</v>
      </c>
      <c r="K244" s="34">
        <v>0</v>
      </c>
      <c r="L244" s="34">
        <v>0</v>
      </c>
      <c r="M244" s="34">
        <v>0</v>
      </c>
      <c r="N244" s="29">
        <v>310</v>
      </c>
      <c r="O244" s="34">
        <v>0</v>
      </c>
      <c r="P244" s="34">
        <v>0</v>
      </c>
      <c r="Q244" s="34">
        <v>0</v>
      </c>
      <c r="R244" s="34">
        <v>0</v>
      </c>
      <c r="S244" s="34">
        <v>0</v>
      </c>
      <c r="T244" s="29">
        <v>183</v>
      </c>
      <c r="U244" s="34">
        <v>0</v>
      </c>
      <c r="V244" s="164"/>
      <c r="W244" s="43" t="s">
        <v>20</v>
      </c>
    </row>
    <row r="245" spans="1:23" x14ac:dyDescent="0.25">
      <c r="A245" s="167"/>
      <c r="B245" s="163"/>
      <c r="C245" s="163"/>
      <c r="D245" s="163"/>
      <c r="E245" s="163"/>
      <c r="F245" s="26" t="s">
        <v>702</v>
      </c>
      <c r="G245" s="27">
        <f>SUM(G232:G244)</f>
        <v>7645</v>
      </c>
      <c r="H245" s="27">
        <f>SUM(H232:H244)</f>
        <v>8514</v>
      </c>
      <c r="I245" s="194">
        <f t="shared" si="35"/>
        <v>16159</v>
      </c>
      <c r="J245" s="27">
        <f t="shared" ref="J245:U245" si="37">SUM(J232:J244)</f>
        <v>138</v>
      </c>
      <c r="K245" s="27">
        <f t="shared" si="37"/>
        <v>760</v>
      </c>
      <c r="L245" s="27">
        <f t="shared" si="37"/>
        <v>0</v>
      </c>
      <c r="M245" s="27">
        <f t="shared" si="37"/>
        <v>0</v>
      </c>
      <c r="N245" s="27">
        <f t="shared" si="37"/>
        <v>6747</v>
      </c>
      <c r="O245" s="27">
        <f t="shared" si="37"/>
        <v>0</v>
      </c>
      <c r="P245" s="27">
        <f t="shared" si="37"/>
        <v>172</v>
      </c>
      <c r="Q245" s="27">
        <f t="shared" si="37"/>
        <v>138</v>
      </c>
      <c r="R245" s="27">
        <f t="shared" si="37"/>
        <v>0</v>
      </c>
      <c r="S245" s="27">
        <f t="shared" si="37"/>
        <v>0</v>
      </c>
      <c r="T245" s="27">
        <f t="shared" si="37"/>
        <v>7959</v>
      </c>
      <c r="U245" s="27">
        <f t="shared" si="37"/>
        <v>245</v>
      </c>
      <c r="V245" s="30"/>
      <c r="W245" s="30"/>
    </row>
    <row r="246" spans="1:23" x14ac:dyDescent="0.25">
      <c r="A246" s="165" t="s">
        <v>799</v>
      </c>
      <c r="B246" s="163">
        <v>2021</v>
      </c>
      <c r="C246" s="163" t="s">
        <v>800</v>
      </c>
      <c r="D246" s="163" t="s">
        <v>821</v>
      </c>
      <c r="E246" s="193" t="s">
        <v>817</v>
      </c>
      <c r="F246" s="29" t="s">
        <v>787</v>
      </c>
      <c r="G246" s="25">
        <v>32</v>
      </c>
      <c r="H246" s="25">
        <v>65</v>
      </c>
      <c r="I246" s="25">
        <f t="shared" si="35"/>
        <v>97</v>
      </c>
      <c r="J246" s="34">
        <v>0</v>
      </c>
      <c r="K246" s="34">
        <v>0</v>
      </c>
      <c r="L246" s="34">
        <v>0</v>
      </c>
      <c r="M246" s="34">
        <v>0</v>
      </c>
      <c r="N246" s="25">
        <v>32</v>
      </c>
      <c r="O246" s="34">
        <v>0</v>
      </c>
      <c r="P246" s="34">
        <v>0</v>
      </c>
      <c r="Q246" s="34">
        <v>0</v>
      </c>
      <c r="R246" s="34">
        <v>0</v>
      </c>
      <c r="S246" s="34">
        <v>0</v>
      </c>
      <c r="T246" s="25">
        <v>65</v>
      </c>
      <c r="U246" s="34">
        <v>0</v>
      </c>
      <c r="V246" s="164" t="s">
        <v>11</v>
      </c>
      <c r="W246" s="43" t="s">
        <v>978</v>
      </c>
    </row>
    <row r="247" spans="1:23" x14ac:dyDescent="0.25">
      <c r="A247" s="166"/>
      <c r="B247" s="163"/>
      <c r="C247" s="163"/>
      <c r="D247" s="163"/>
      <c r="E247" s="163"/>
      <c r="F247" s="29" t="s">
        <v>801</v>
      </c>
      <c r="G247" s="25">
        <v>624</v>
      </c>
      <c r="H247" s="25">
        <v>161</v>
      </c>
      <c r="I247" s="25">
        <f t="shared" si="35"/>
        <v>785</v>
      </c>
      <c r="J247" s="34">
        <v>0</v>
      </c>
      <c r="K247" s="34">
        <v>0</v>
      </c>
      <c r="L247" s="34">
        <v>0</v>
      </c>
      <c r="M247" s="34">
        <v>0</v>
      </c>
      <c r="N247" s="25">
        <v>624</v>
      </c>
      <c r="O247" s="34">
        <v>0</v>
      </c>
      <c r="P247" s="34">
        <v>0</v>
      </c>
      <c r="Q247" s="34">
        <v>0</v>
      </c>
      <c r="R247" s="34">
        <v>0</v>
      </c>
      <c r="S247" s="34">
        <v>0</v>
      </c>
      <c r="T247" s="25">
        <v>161</v>
      </c>
      <c r="U247" s="34">
        <v>0</v>
      </c>
      <c r="V247" s="164"/>
      <c r="W247" s="43" t="s">
        <v>973</v>
      </c>
    </row>
    <row r="248" spans="1:23" x14ac:dyDescent="0.25">
      <c r="A248" s="166"/>
      <c r="B248" s="163"/>
      <c r="C248" s="163"/>
      <c r="D248" s="163"/>
      <c r="E248" s="163"/>
      <c r="F248" s="29" t="s">
        <v>802</v>
      </c>
      <c r="G248" s="25">
        <v>228</v>
      </c>
      <c r="H248" s="25">
        <v>189</v>
      </c>
      <c r="I248" s="25">
        <f t="shared" si="35"/>
        <v>417</v>
      </c>
      <c r="J248" s="34">
        <v>0</v>
      </c>
      <c r="K248" s="34">
        <v>0</v>
      </c>
      <c r="L248" s="34">
        <v>0</v>
      </c>
      <c r="M248" s="34">
        <v>0</v>
      </c>
      <c r="N248" s="25">
        <v>228</v>
      </c>
      <c r="O248" s="34">
        <v>0</v>
      </c>
      <c r="P248" s="34">
        <v>0</v>
      </c>
      <c r="Q248" s="34">
        <v>0</v>
      </c>
      <c r="R248" s="34">
        <v>0</v>
      </c>
      <c r="S248" s="34">
        <v>0</v>
      </c>
      <c r="T248" s="25">
        <v>189</v>
      </c>
      <c r="U248" s="34">
        <v>0</v>
      </c>
      <c r="V248" s="164"/>
      <c r="W248" s="43" t="s">
        <v>1009</v>
      </c>
    </row>
    <row r="249" spans="1:23" x14ac:dyDescent="0.25">
      <c r="A249" s="166"/>
      <c r="B249" s="163"/>
      <c r="C249" s="163"/>
      <c r="D249" s="163"/>
      <c r="E249" s="163"/>
      <c r="F249" s="29" t="s">
        <v>132</v>
      </c>
      <c r="G249" s="25">
        <v>795</v>
      </c>
      <c r="H249" s="25">
        <v>2451</v>
      </c>
      <c r="I249" s="25">
        <f t="shared" si="35"/>
        <v>3246</v>
      </c>
      <c r="J249" s="34">
        <v>0</v>
      </c>
      <c r="K249" s="34">
        <v>0</v>
      </c>
      <c r="L249" s="34">
        <v>0</v>
      </c>
      <c r="M249" s="34">
        <v>0</v>
      </c>
      <c r="N249" s="25">
        <v>795</v>
      </c>
      <c r="O249" s="34">
        <v>0</v>
      </c>
      <c r="P249" s="34">
        <v>0</v>
      </c>
      <c r="Q249" s="34">
        <v>0</v>
      </c>
      <c r="R249" s="34">
        <v>0</v>
      </c>
      <c r="S249" s="34">
        <v>0</v>
      </c>
      <c r="T249" s="25">
        <v>2451</v>
      </c>
      <c r="U249" s="34">
        <v>0</v>
      </c>
      <c r="V249" s="164"/>
      <c r="W249" s="43" t="s">
        <v>973</v>
      </c>
    </row>
    <row r="250" spans="1:23" x14ac:dyDescent="0.25">
      <c r="A250" s="166"/>
      <c r="B250" s="163"/>
      <c r="C250" s="163"/>
      <c r="D250" s="163"/>
      <c r="E250" s="163"/>
      <c r="F250" s="29" t="s">
        <v>116</v>
      </c>
      <c r="G250" s="25">
        <v>242</v>
      </c>
      <c r="H250" s="25">
        <v>204</v>
      </c>
      <c r="I250" s="25">
        <f t="shared" si="35"/>
        <v>446</v>
      </c>
      <c r="J250" s="34">
        <v>0</v>
      </c>
      <c r="K250" s="34">
        <v>0</v>
      </c>
      <c r="L250" s="34">
        <v>0</v>
      </c>
      <c r="M250" s="34">
        <v>0</v>
      </c>
      <c r="N250" s="25">
        <v>242</v>
      </c>
      <c r="O250" s="34">
        <v>0</v>
      </c>
      <c r="P250" s="34">
        <v>0</v>
      </c>
      <c r="Q250" s="34">
        <v>0</v>
      </c>
      <c r="R250" s="34">
        <v>0</v>
      </c>
      <c r="S250" s="34">
        <v>0</v>
      </c>
      <c r="T250" s="25">
        <v>204</v>
      </c>
      <c r="U250" s="34">
        <v>0</v>
      </c>
      <c r="V250" s="164"/>
      <c r="W250" s="43" t="s">
        <v>978</v>
      </c>
    </row>
    <row r="251" spans="1:23" x14ac:dyDescent="0.25">
      <c r="A251" s="166"/>
      <c r="B251" s="163"/>
      <c r="C251" s="163"/>
      <c r="D251" s="163"/>
      <c r="E251" s="163"/>
      <c r="F251" s="29" t="s">
        <v>803</v>
      </c>
      <c r="G251" s="25">
        <v>173</v>
      </c>
      <c r="H251" s="25">
        <v>1002</v>
      </c>
      <c r="I251" s="25">
        <f t="shared" si="35"/>
        <v>1175</v>
      </c>
      <c r="J251" s="34">
        <v>0</v>
      </c>
      <c r="K251" s="34">
        <v>0</v>
      </c>
      <c r="L251" s="34">
        <v>0</v>
      </c>
      <c r="M251" s="34">
        <v>0</v>
      </c>
      <c r="N251" s="25">
        <v>173</v>
      </c>
      <c r="O251" s="34">
        <v>0</v>
      </c>
      <c r="P251" s="34">
        <v>0</v>
      </c>
      <c r="Q251" s="34">
        <v>0</v>
      </c>
      <c r="R251" s="34">
        <v>0</v>
      </c>
      <c r="S251" s="34">
        <v>0</v>
      </c>
      <c r="T251" s="25">
        <v>1002</v>
      </c>
      <c r="U251" s="34">
        <v>0</v>
      </c>
      <c r="V251" s="164"/>
      <c r="W251" s="43" t="s">
        <v>973</v>
      </c>
    </row>
    <row r="252" spans="1:23" x14ac:dyDescent="0.25">
      <c r="A252" s="166"/>
      <c r="B252" s="163"/>
      <c r="C252" s="163"/>
      <c r="D252" s="163"/>
      <c r="E252" s="163"/>
      <c r="F252" s="29" t="s">
        <v>107</v>
      </c>
      <c r="G252" s="25">
        <v>64</v>
      </c>
      <c r="H252" s="25">
        <v>195</v>
      </c>
      <c r="I252" s="25">
        <f t="shared" si="35"/>
        <v>259</v>
      </c>
      <c r="J252" s="34">
        <v>0</v>
      </c>
      <c r="K252" s="34">
        <v>0</v>
      </c>
      <c r="L252" s="34">
        <v>0</v>
      </c>
      <c r="M252" s="34">
        <v>0</v>
      </c>
      <c r="N252" s="25">
        <v>64</v>
      </c>
      <c r="O252" s="34">
        <v>0</v>
      </c>
      <c r="P252" s="34">
        <v>0</v>
      </c>
      <c r="Q252" s="34">
        <v>0</v>
      </c>
      <c r="R252" s="34">
        <v>0</v>
      </c>
      <c r="S252" s="34">
        <v>0</v>
      </c>
      <c r="T252" s="25">
        <v>195</v>
      </c>
      <c r="U252" s="34">
        <v>0</v>
      </c>
      <c r="V252" s="164"/>
      <c r="W252" s="43" t="s">
        <v>973</v>
      </c>
    </row>
    <row r="253" spans="1:23" x14ac:dyDescent="0.25">
      <c r="A253" s="166"/>
      <c r="B253" s="163"/>
      <c r="C253" s="163"/>
      <c r="D253" s="163"/>
      <c r="E253" s="163"/>
      <c r="F253" s="29" t="s">
        <v>106</v>
      </c>
      <c r="G253" s="25">
        <v>51</v>
      </c>
      <c r="H253" s="25">
        <v>65</v>
      </c>
      <c r="I253" s="25">
        <f t="shared" si="35"/>
        <v>116</v>
      </c>
      <c r="J253" s="34">
        <v>0</v>
      </c>
      <c r="K253" s="34">
        <v>0</v>
      </c>
      <c r="L253" s="34">
        <v>0</v>
      </c>
      <c r="M253" s="34">
        <v>0</v>
      </c>
      <c r="N253" s="25">
        <v>51</v>
      </c>
      <c r="O253" s="34">
        <v>0</v>
      </c>
      <c r="P253" s="34">
        <v>0</v>
      </c>
      <c r="Q253" s="34">
        <v>0</v>
      </c>
      <c r="R253" s="34">
        <v>0</v>
      </c>
      <c r="S253" s="34">
        <v>0</v>
      </c>
      <c r="T253" s="25">
        <v>0</v>
      </c>
      <c r="U253" s="25">
        <v>65</v>
      </c>
      <c r="V253" s="164"/>
      <c r="W253" s="43" t="s">
        <v>979</v>
      </c>
    </row>
    <row r="254" spans="1:23" x14ac:dyDescent="0.25">
      <c r="A254" s="166"/>
      <c r="B254" s="163"/>
      <c r="C254" s="163"/>
      <c r="D254" s="163"/>
      <c r="E254" s="163"/>
      <c r="F254" s="29" t="s">
        <v>23</v>
      </c>
      <c r="G254" s="25">
        <v>29</v>
      </c>
      <c r="H254" s="25">
        <v>14</v>
      </c>
      <c r="I254" s="25">
        <f t="shared" si="35"/>
        <v>43</v>
      </c>
      <c r="J254" s="34">
        <v>0</v>
      </c>
      <c r="K254" s="34">
        <v>0</v>
      </c>
      <c r="L254" s="34">
        <v>0</v>
      </c>
      <c r="M254" s="34">
        <v>0</v>
      </c>
      <c r="N254" s="25">
        <v>29</v>
      </c>
      <c r="O254" s="34">
        <v>0</v>
      </c>
      <c r="P254" s="34">
        <v>0</v>
      </c>
      <c r="Q254" s="34">
        <v>0</v>
      </c>
      <c r="R254" s="34">
        <v>0</v>
      </c>
      <c r="S254" s="34">
        <v>0</v>
      </c>
      <c r="T254" s="25">
        <v>14</v>
      </c>
      <c r="U254" s="34">
        <v>0</v>
      </c>
      <c r="V254" s="164"/>
      <c r="W254" s="43" t="s">
        <v>973</v>
      </c>
    </row>
    <row r="255" spans="1:23" x14ac:dyDescent="0.25">
      <c r="A255" s="166"/>
      <c r="B255" s="163"/>
      <c r="C255" s="163"/>
      <c r="D255" s="163"/>
      <c r="E255" s="163"/>
      <c r="F255" s="29" t="s">
        <v>26</v>
      </c>
      <c r="G255" s="25">
        <v>35</v>
      </c>
      <c r="H255" s="25">
        <v>61</v>
      </c>
      <c r="I255" s="25">
        <f t="shared" si="35"/>
        <v>96</v>
      </c>
      <c r="J255" s="34">
        <v>0</v>
      </c>
      <c r="K255" s="34">
        <v>0</v>
      </c>
      <c r="L255" s="34">
        <v>0</v>
      </c>
      <c r="M255" s="34">
        <v>0</v>
      </c>
      <c r="N255" s="25">
        <v>35</v>
      </c>
      <c r="O255" s="34">
        <v>0</v>
      </c>
      <c r="P255" s="34">
        <v>0</v>
      </c>
      <c r="Q255" s="34">
        <v>0</v>
      </c>
      <c r="R255" s="34">
        <v>0</v>
      </c>
      <c r="S255" s="34">
        <v>0</v>
      </c>
      <c r="T255" s="25">
        <v>61</v>
      </c>
      <c r="U255" s="34">
        <v>0</v>
      </c>
      <c r="V255" s="164"/>
      <c r="W255" s="43" t="s">
        <v>966</v>
      </c>
    </row>
    <row r="256" spans="1:23" x14ac:dyDescent="0.25">
      <c r="A256" s="166"/>
      <c r="B256" s="163"/>
      <c r="C256" s="163"/>
      <c r="D256" s="163"/>
      <c r="E256" s="163"/>
      <c r="F256" s="29" t="s">
        <v>133</v>
      </c>
      <c r="G256" s="25">
        <v>30</v>
      </c>
      <c r="H256" s="25">
        <v>218</v>
      </c>
      <c r="I256" s="25">
        <f t="shared" si="35"/>
        <v>248</v>
      </c>
      <c r="J256" s="34">
        <v>0</v>
      </c>
      <c r="K256" s="34">
        <v>0</v>
      </c>
      <c r="L256" s="34">
        <v>0</v>
      </c>
      <c r="M256" s="34">
        <v>0</v>
      </c>
      <c r="N256" s="25">
        <v>30</v>
      </c>
      <c r="O256" s="34">
        <v>0</v>
      </c>
      <c r="P256" s="34">
        <v>0</v>
      </c>
      <c r="Q256" s="34">
        <v>0</v>
      </c>
      <c r="R256" s="34">
        <v>0</v>
      </c>
      <c r="S256" s="34">
        <v>0</v>
      </c>
      <c r="T256" s="25">
        <v>218</v>
      </c>
      <c r="U256" s="34">
        <v>0</v>
      </c>
      <c r="V256" s="164"/>
      <c r="W256" s="43" t="s">
        <v>1010</v>
      </c>
    </row>
    <row r="257" spans="1:23" x14ac:dyDescent="0.25">
      <c r="A257" s="166"/>
      <c r="B257" s="163"/>
      <c r="C257" s="163"/>
      <c r="D257" s="163"/>
      <c r="E257" s="163"/>
      <c r="F257" s="29" t="s">
        <v>804</v>
      </c>
      <c r="G257" s="25">
        <v>110</v>
      </c>
      <c r="H257" s="25">
        <v>189</v>
      </c>
      <c r="I257" s="25">
        <f t="shared" si="35"/>
        <v>299</v>
      </c>
      <c r="J257" s="34">
        <v>0</v>
      </c>
      <c r="K257" s="34">
        <v>0</v>
      </c>
      <c r="L257" s="34">
        <v>0</v>
      </c>
      <c r="M257" s="34">
        <v>0</v>
      </c>
      <c r="N257" s="25">
        <v>110</v>
      </c>
      <c r="O257" s="34">
        <v>0</v>
      </c>
      <c r="P257" s="34">
        <v>0</v>
      </c>
      <c r="Q257" s="34">
        <v>0</v>
      </c>
      <c r="R257" s="34">
        <v>0</v>
      </c>
      <c r="S257" s="34">
        <v>0</v>
      </c>
      <c r="T257" s="25">
        <v>189</v>
      </c>
      <c r="U257" s="34">
        <v>0</v>
      </c>
      <c r="V257" s="164"/>
      <c r="W257" s="43" t="s">
        <v>1010</v>
      </c>
    </row>
    <row r="258" spans="1:23" x14ac:dyDescent="0.25">
      <c r="A258" s="166"/>
      <c r="B258" s="163"/>
      <c r="C258" s="163"/>
      <c r="D258" s="163"/>
      <c r="E258" s="163"/>
      <c r="F258" s="29" t="s">
        <v>28</v>
      </c>
      <c r="G258" s="25">
        <v>114</v>
      </c>
      <c r="H258" s="25">
        <v>79</v>
      </c>
      <c r="I258" s="25">
        <f t="shared" si="35"/>
        <v>193</v>
      </c>
      <c r="J258" s="34">
        <v>0</v>
      </c>
      <c r="K258" s="34">
        <v>0</v>
      </c>
      <c r="L258" s="34">
        <v>0</v>
      </c>
      <c r="M258" s="34">
        <v>0</v>
      </c>
      <c r="N258" s="25">
        <v>114</v>
      </c>
      <c r="O258" s="34">
        <v>0</v>
      </c>
      <c r="P258" s="34">
        <v>0</v>
      </c>
      <c r="Q258" s="34">
        <v>0</v>
      </c>
      <c r="R258" s="34">
        <v>0</v>
      </c>
      <c r="S258" s="34">
        <v>0</v>
      </c>
      <c r="T258" s="25">
        <v>79</v>
      </c>
      <c r="U258" s="34">
        <v>0</v>
      </c>
      <c r="V258" s="164"/>
      <c r="W258" s="43" t="s">
        <v>973</v>
      </c>
    </row>
    <row r="259" spans="1:23" x14ac:dyDescent="0.25">
      <c r="A259" s="166"/>
      <c r="B259" s="163"/>
      <c r="C259" s="163"/>
      <c r="D259" s="163"/>
      <c r="E259" s="163"/>
      <c r="F259" s="29" t="s">
        <v>134</v>
      </c>
      <c r="G259" s="25">
        <v>170</v>
      </c>
      <c r="H259" s="25">
        <v>299</v>
      </c>
      <c r="I259" s="25">
        <f t="shared" si="35"/>
        <v>469</v>
      </c>
      <c r="J259" s="34">
        <v>0</v>
      </c>
      <c r="K259" s="34">
        <v>0</v>
      </c>
      <c r="L259" s="34">
        <v>0</v>
      </c>
      <c r="M259" s="25">
        <v>170</v>
      </c>
      <c r="N259" s="34">
        <v>0</v>
      </c>
      <c r="O259" s="34">
        <v>0</v>
      </c>
      <c r="P259" s="34">
        <v>0</v>
      </c>
      <c r="Q259" s="34">
        <v>0</v>
      </c>
      <c r="R259" s="34">
        <v>0</v>
      </c>
      <c r="S259" s="25">
        <v>299</v>
      </c>
      <c r="T259" s="34">
        <v>0</v>
      </c>
      <c r="U259" s="34">
        <v>0</v>
      </c>
      <c r="V259" s="164"/>
      <c r="W259" s="43" t="s">
        <v>1011</v>
      </c>
    </row>
    <row r="260" spans="1:23" x14ac:dyDescent="0.25">
      <c r="A260" s="166"/>
      <c r="B260" s="163"/>
      <c r="C260" s="163"/>
      <c r="D260" s="163"/>
      <c r="E260" s="163"/>
      <c r="F260" s="29" t="s">
        <v>700</v>
      </c>
      <c r="G260" s="25">
        <v>87</v>
      </c>
      <c r="H260" s="25">
        <v>30</v>
      </c>
      <c r="I260" s="25">
        <f t="shared" si="35"/>
        <v>117</v>
      </c>
      <c r="J260" s="34">
        <v>0</v>
      </c>
      <c r="K260" s="34">
        <v>0</v>
      </c>
      <c r="L260" s="34">
        <v>0</v>
      </c>
      <c r="M260" s="34">
        <v>0</v>
      </c>
      <c r="N260" s="25">
        <v>87</v>
      </c>
      <c r="O260" s="34">
        <v>0</v>
      </c>
      <c r="P260" s="34">
        <v>0</v>
      </c>
      <c r="Q260" s="34">
        <v>0</v>
      </c>
      <c r="R260" s="34">
        <v>0</v>
      </c>
      <c r="S260" s="34">
        <v>0</v>
      </c>
      <c r="T260" s="25">
        <v>30</v>
      </c>
      <c r="U260" s="34">
        <v>0</v>
      </c>
      <c r="V260" s="164"/>
      <c r="W260" s="43" t="s">
        <v>973</v>
      </c>
    </row>
    <row r="261" spans="1:23" x14ac:dyDescent="0.25">
      <c r="A261" s="167"/>
      <c r="B261" s="163"/>
      <c r="C261" s="163"/>
      <c r="D261" s="163"/>
      <c r="E261" s="163"/>
      <c r="F261" s="26" t="s">
        <v>702</v>
      </c>
      <c r="G261" s="27">
        <f>SUM(G246:G260)</f>
        <v>2784</v>
      </c>
      <c r="H261" s="27">
        <f>SUM(H246:H260)</f>
        <v>5222</v>
      </c>
      <c r="I261" s="194">
        <f t="shared" si="35"/>
        <v>8006</v>
      </c>
      <c r="J261" s="27">
        <f t="shared" ref="J261:U261" si="38">SUM(J246:J260)</f>
        <v>0</v>
      </c>
      <c r="K261" s="27">
        <f t="shared" si="38"/>
        <v>0</v>
      </c>
      <c r="L261" s="27">
        <f t="shared" si="38"/>
        <v>0</v>
      </c>
      <c r="M261" s="27">
        <f t="shared" si="38"/>
        <v>170</v>
      </c>
      <c r="N261" s="27">
        <f t="shared" si="38"/>
        <v>2614</v>
      </c>
      <c r="O261" s="27">
        <f t="shared" si="38"/>
        <v>0</v>
      </c>
      <c r="P261" s="27">
        <f t="shared" si="38"/>
        <v>0</v>
      </c>
      <c r="Q261" s="27">
        <f t="shared" si="38"/>
        <v>0</v>
      </c>
      <c r="R261" s="27">
        <f t="shared" si="38"/>
        <v>0</v>
      </c>
      <c r="S261" s="27">
        <f t="shared" si="38"/>
        <v>299</v>
      </c>
      <c r="T261" s="27">
        <f t="shared" si="38"/>
        <v>4858</v>
      </c>
      <c r="U261" s="27">
        <f t="shared" si="38"/>
        <v>65</v>
      </c>
      <c r="V261" s="30"/>
      <c r="W261" s="30"/>
    </row>
    <row r="262" spans="1:23" x14ac:dyDescent="0.25">
      <c r="A262" s="190" t="s">
        <v>805</v>
      </c>
      <c r="B262" s="163">
        <v>2021</v>
      </c>
      <c r="C262" s="163" t="s">
        <v>806</v>
      </c>
      <c r="D262" s="163" t="s">
        <v>820</v>
      </c>
      <c r="E262" s="193" t="s">
        <v>816</v>
      </c>
      <c r="F262" s="28" t="s">
        <v>735</v>
      </c>
      <c r="G262" s="25">
        <f>2349+913+2276+894</f>
        <v>6432</v>
      </c>
      <c r="H262" s="25">
        <f>542+744+668+586</f>
        <v>2540</v>
      </c>
      <c r="I262" s="25">
        <f t="shared" si="35"/>
        <v>8972</v>
      </c>
      <c r="J262" s="34">
        <v>0</v>
      </c>
      <c r="K262" s="34">
        <v>4627</v>
      </c>
      <c r="L262" s="34">
        <v>0</v>
      </c>
      <c r="M262" s="34">
        <v>0</v>
      </c>
      <c r="N262" s="25">
        <v>1805</v>
      </c>
      <c r="O262" s="34">
        <v>0</v>
      </c>
      <c r="P262" s="34">
        <v>0</v>
      </c>
      <c r="Q262" s="34">
        <v>517</v>
      </c>
      <c r="R262" s="34">
        <v>0</v>
      </c>
      <c r="S262" s="34">
        <v>0</v>
      </c>
      <c r="T262" s="25">
        <v>2023</v>
      </c>
      <c r="U262" s="34">
        <v>0</v>
      </c>
      <c r="V262" s="164" t="s">
        <v>11</v>
      </c>
      <c r="W262" s="43" t="s">
        <v>20</v>
      </c>
    </row>
    <row r="263" spans="1:23" x14ac:dyDescent="0.25">
      <c r="A263" s="190"/>
      <c r="B263" s="163"/>
      <c r="C263" s="163"/>
      <c r="D263" s="163"/>
      <c r="E263" s="163"/>
      <c r="F263" s="28" t="s">
        <v>145</v>
      </c>
      <c r="G263" s="25">
        <v>532</v>
      </c>
      <c r="H263" s="25">
        <v>1512</v>
      </c>
      <c r="I263" s="25">
        <f t="shared" ref="I263:I305" si="39">SUM(G263:H263)</f>
        <v>2044</v>
      </c>
      <c r="J263" s="34">
        <v>0</v>
      </c>
      <c r="K263" s="34">
        <v>70</v>
      </c>
      <c r="L263" s="34">
        <v>0</v>
      </c>
      <c r="M263" s="34">
        <v>0</v>
      </c>
      <c r="N263" s="25">
        <v>462</v>
      </c>
      <c r="O263" s="34">
        <v>0</v>
      </c>
      <c r="P263" s="34">
        <v>0</v>
      </c>
      <c r="Q263" s="34">
        <v>155</v>
      </c>
      <c r="R263" s="34">
        <v>0</v>
      </c>
      <c r="S263" s="34">
        <v>0</v>
      </c>
      <c r="T263" s="25">
        <v>1357</v>
      </c>
      <c r="U263" s="34">
        <v>0</v>
      </c>
      <c r="V263" s="164"/>
      <c r="W263" s="43" t="s">
        <v>20</v>
      </c>
    </row>
    <row r="264" spans="1:23" x14ac:dyDescent="0.25">
      <c r="A264" s="190"/>
      <c r="B264" s="163"/>
      <c r="C264" s="163"/>
      <c r="D264" s="163"/>
      <c r="E264" s="163"/>
      <c r="F264" s="28" t="s">
        <v>156</v>
      </c>
      <c r="G264" s="25">
        <v>268</v>
      </c>
      <c r="H264" s="25">
        <v>173</v>
      </c>
      <c r="I264" s="25">
        <f t="shared" si="39"/>
        <v>441</v>
      </c>
      <c r="J264" s="25">
        <v>268</v>
      </c>
      <c r="K264" s="34">
        <v>0</v>
      </c>
      <c r="L264" s="34">
        <v>0</v>
      </c>
      <c r="M264" s="34">
        <v>0</v>
      </c>
      <c r="N264" s="34">
        <v>0</v>
      </c>
      <c r="O264" s="34">
        <v>0</v>
      </c>
      <c r="P264" s="25">
        <v>173</v>
      </c>
      <c r="Q264" s="34">
        <v>0</v>
      </c>
      <c r="R264" s="34">
        <v>0</v>
      </c>
      <c r="S264" s="34">
        <v>0</v>
      </c>
      <c r="T264" s="34">
        <v>0</v>
      </c>
      <c r="U264" s="34">
        <v>0</v>
      </c>
      <c r="V264" s="164"/>
      <c r="W264" s="43" t="s">
        <v>20</v>
      </c>
    </row>
    <row r="265" spans="1:23" x14ac:dyDescent="0.25">
      <c r="A265" s="190"/>
      <c r="B265" s="163"/>
      <c r="C265" s="163"/>
      <c r="D265" s="163"/>
      <c r="E265" s="163"/>
      <c r="F265" s="28" t="s">
        <v>71</v>
      </c>
      <c r="G265" s="25">
        <v>6</v>
      </c>
      <c r="H265" s="25">
        <v>112</v>
      </c>
      <c r="I265" s="25">
        <f t="shared" si="39"/>
        <v>118</v>
      </c>
      <c r="J265" s="25">
        <v>6</v>
      </c>
      <c r="K265" s="34">
        <v>0</v>
      </c>
      <c r="L265" s="34">
        <v>0</v>
      </c>
      <c r="M265" s="34">
        <v>0</v>
      </c>
      <c r="N265" s="34">
        <v>0</v>
      </c>
      <c r="O265" s="34">
        <v>0</v>
      </c>
      <c r="P265" s="25">
        <v>112</v>
      </c>
      <c r="Q265" s="34">
        <v>0</v>
      </c>
      <c r="R265" s="34">
        <v>0</v>
      </c>
      <c r="S265" s="34">
        <v>0</v>
      </c>
      <c r="T265" s="34">
        <v>0</v>
      </c>
      <c r="U265" s="34">
        <v>0</v>
      </c>
      <c r="V265" s="164"/>
      <c r="W265" s="43" t="s">
        <v>20</v>
      </c>
    </row>
    <row r="266" spans="1:23" x14ac:dyDescent="0.25">
      <c r="A266" s="190"/>
      <c r="B266" s="163"/>
      <c r="C266" s="163"/>
      <c r="D266" s="163"/>
      <c r="E266" s="163"/>
      <c r="F266" s="28" t="s">
        <v>132</v>
      </c>
      <c r="G266" s="25">
        <v>27</v>
      </c>
      <c r="H266" s="25">
        <v>144</v>
      </c>
      <c r="I266" s="25">
        <f t="shared" si="39"/>
        <v>171</v>
      </c>
      <c r="J266" s="34">
        <v>0</v>
      </c>
      <c r="K266" s="34">
        <v>0</v>
      </c>
      <c r="L266" s="34">
        <v>0</v>
      </c>
      <c r="M266" s="34">
        <v>0</v>
      </c>
      <c r="N266" s="25">
        <v>27</v>
      </c>
      <c r="O266" s="34">
        <v>0</v>
      </c>
      <c r="P266" s="34">
        <v>0</v>
      </c>
      <c r="Q266" s="34">
        <v>0</v>
      </c>
      <c r="R266" s="34">
        <v>0</v>
      </c>
      <c r="S266" s="34">
        <v>0</v>
      </c>
      <c r="T266" s="25">
        <v>144</v>
      </c>
      <c r="U266" s="34">
        <v>0</v>
      </c>
      <c r="V266" s="164"/>
      <c r="W266" s="43" t="s">
        <v>20</v>
      </c>
    </row>
    <row r="267" spans="1:23" x14ac:dyDescent="0.25">
      <c r="A267" s="190"/>
      <c r="B267" s="163"/>
      <c r="C267" s="163"/>
      <c r="D267" s="163"/>
      <c r="E267" s="163"/>
      <c r="F267" s="28" t="s">
        <v>72</v>
      </c>
      <c r="G267" s="25">
        <v>9</v>
      </c>
      <c r="H267" s="25">
        <v>141</v>
      </c>
      <c r="I267" s="25">
        <f t="shared" si="39"/>
        <v>150</v>
      </c>
      <c r="J267" s="34">
        <v>0</v>
      </c>
      <c r="K267" s="34">
        <v>0</v>
      </c>
      <c r="L267" s="34">
        <v>0</v>
      </c>
      <c r="M267" s="34">
        <v>0</v>
      </c>
      <c r="N267" s="25">
        <v>9</v>
      </c>
      <c r="O267" s="34">
        <v>0</v>
      </c>
      <c r="P267" s="34">
        <v>0</v>
      </c>
      <c r="Q267" s="34">
        <v>0</v>
      </c>
      <c r="R267" s="34">
        <v>0</v>
      </c>
      <c r="S267" s="34">
        <v>0</v>
      </c>
      <c r="T267" s="25">
        <v>141</v>
      </c>
      <c r="U267" s="34">
        <v>0</v>
      </c>
      <c r="V267" s="164"/>
      <c r="W267" s="43" t="s">
        <v>20</v>
      </c>
    </row>
    <row r="268" spans="1:23" x14ac:dyDescent="0.25">
      <c r="A268" s="190"/>
      <c r="B268" s="163"/>
      <c r="C268" s="163"/>
      <c r="D268" s="163"/>
      <c r="E268" s="163"/>
      <c r="F268" s="28" t="s">
        <v>9</v>
      </c>
      <c r="G268" s="25">
        <v>666</v>
      </c>
      <c r="H268" s="25">
        <v>712</v>
      </c>
      <c r="I268" s="25">
        <f t="shared" si="39"/>
        <v>1378</v>
      </c>
      <c r="J268" s="34">
        <v>0</v>
      </c>
      <c r="K268" s="34">
        <v>0</v>
      </c>
      <c r="L268" s="34">
        <v>0</v>
      </c>
      <c r="M268" s="34">
        <v>0</v>
      </c>
      <c r="N268" s="25">
        <v>666</v>
      </c>
      <c r="O268" s="34">
        <v>0</v>
      </c>
      <c r="P268" s="34">
        <v>0</v>
      </c>
      <c r="Q268" s="34">
        <v>0</v>
      </c>
      <c r="R268" s="34">
        <v>0</v>
      </c>
      <c r="S268" s="34">
        <v>0</v>
      </c>
      <c r="T268" s="25">
        <v>712</v>
      </c>
      <c r="U268" s="34">
        <v>0</v>
      </c>
      <c r="V268" s="164"/>
      <c r="W268" s="43" t="s">
        <v>20</v>
      </c>
    </row>
    <row r="269" spans="1:23" x14ac:dyDescent="0.25">
      <c r="A269" s="190"/>
      <c r="B269" s="163"/>
      <c r="C269" s="163"/>
      <c r="D269" s="163"/>
      <c r="E269" s="163"/>
      <c r="F269" s="28" t="s">
        <v>107</v>
      </c>
      <c r="G269" s="25">
        <f>658+13</f>
        <v>671</v>
      </c>
      <c r="H269" s="25">
        <f>1046+233</f>
        <v>1279</v>
      </c>
      <c r="I269" s="25">
        <f t="shared" si="39"/>
        <v>1950</v>
      </c>
      <c r="J269" s="34">
        <v>0</v>
      </c>
      <c r="K269" s="34">
        <v>0</v>
      </c>
      <c r="L269" s="34">
        <v>0</v>
      </c>
      <c r="M269" s="34">
        <v>0</v>
      </c>
      <c r="N269" s="25">
        <f>658+13</f>
        <v>671</v>
      </c>
      <c r="O269" s="34">
        <v>0</v>
      </c>
      <c r="P269" s="34">
        <v>0</v>
      </c>
      <c r="Q269" s="34">
        <v>0</v>
      </c>
      <c r="R269" s="34">
        <v>0</v>
      </c>
      <c r="S269" s="34">
        <v>0</v>
      </c>
      <c r="T269" s="25">
        <f>1046+233</f>
        <v>1279</v>
      </c>
      <c r="U269" s="34">
        <v>0</v>
      </c>
      <c r="V269" s="164"/>
      <c r="W269" s="43" t="s">
        <v>20</v>
      </c>
    </row>
    <row r="270" spans="1:23" x14ac:dyDescent="0.25">
      <c r="A270" s="190"/>
      <c r="B270" s="163"/>
      <c r="C270" s="163"/>
      <c r="D270" s="163"/>
      <c r="E270" s="163"/>
      <c r="F270" s="28" t="s">
        <v>106</v>
      </c>
      <c r="G270" s="25">
        <v>491</v>
      </c>
      <c r="H270" s="25">
        <v>738</v>
      </c>
      <c r="I270" s="25">
        <f t="shared" si="39"/>
        <v>1229</v>
      </c>
      <c r="J270" s="34">
        <v>0</v>
      </c>
      <c r="K270" s="34">
        <v>0</v>
      </c>
      <c r="L270" s="34">
        <v>0</v>
      </c>
      <c r="M270" s="34">
        <v>0</v>
      </c>
      <c r="N270" s="25">
        <v>491</v>
      </c>
      <c r="O270" s="34">
        <v>0</v>
      </c>
      <c r="P270" s="34">
        <v>0</v>
      </c>
      <c r="Q270" s="34">
        <v>0</v>
      </c>
      <c r="R270" s="34">
        <v>0</v>
      </c>
      <c r="S270" s="34">
        <v>0</v>
      </c>
      <c r="T270" s="25">
        <v>0</v>
      </c>
      <c r="U270" s="25">
        <v>738</v>
      </c>
      <c r="V270" s="164"/>
      <c r="W270" s="43" t="s">
        <v>20</v>
      </c>
    </row>
    <row r="271" spans="1:23" x14ac:dyDescent="0.25">
      <c r="A271" s="190"/>
      <c r="B271" s="163"/>
      <c r="C271" s="163"/>
      <c r="D271" s="163"/>
      <c r="E271" s="163"/>
      <c r="F271" s="28" t="s">
        <v>14</v>
      </c>
      <c r="G271" s="25">
        <v>256</v>
      </c>
      <c r="H271" s="25">
        <v>189</v>
      </c>
      <c r="I271" s="25">
        <f t="shared" si="39"/>
        <v>445</v>
      </c>
      <c r="J271" s="34">
        <v>0</v>
      </c>
      <c r="K271" s="34">
        <v>0</v>
      </c>
      <c r="L271" s="34">
        <v>0</v>
      </c>
      <c r="M271" s="34">
        <v>0</v>
      </c>
      <c r="N271" s="25">
        <v>256</v>
      </c>
      <c r="O271" s="34">
        <v>0</v>
      </c>
      <c r="P271" s="34">
        <v>0</v>
      </c>
      <c r="Q271" s="34">
        <v>0</v>
      </c>
      <c r="R271" s="34">
        <v>0</v>
      </c>
      <c r="S271" s="34">
        <v>0</v>
      </c>
      <c r="T271" s="25">
        <v>189</v>
      </c>
      <c r="U271" s="34">
        <v>0</v>
      </c>
      <c r="V271" s="164"/>
      <c r="W271" s="43" t="s">
        <v>20</v>
      </c>
    </row>
    <row r="272" spans="1:23" x14ac:dyDescent="0.25">
      <c r="A272" s="190"/>
      <c r="B272" s="163"/>
      <c r="C272" s="163"/>
      <c r="D272" s="163"/>
      <c r="E272" s="163"/>
      <c r="F272" s="28" t="s">
        <v>26</v>
      </c>
      <c r="G272" s="25">
        <v>1798</v>
      </c>
      <c r="H272" s="25">
        <v>1568</v>
      </c>
      <c r="I272" s="25">
        <f t="shared" si="39"/>
        <v>3366</v>
      </c>
      <c r="J272" s="34">
        <v>0</v>
      </c>
      <c r="K272" s="34">
        <v>0</v>
      </c>
      <c r="L272" s="34">
        <v>0</v>
      </c>
      <c r="M272" s="34">
        <v>0</v>
      </c>
      <c r="N272" s="25">
        <v>1798</v>
      </c>
      <c r="O272" s="34">
        <v>0</v>
      </c>
      <c r="P272" s="34">
        <v>0</v>
      </c>
      <c r="Q272" s="34">
        <v>0</v>
      </c>
      <c r="R272" s="34">
        <v>0</v>
      </c>
      <c r="S272" s="34">
        <v>0</v>
      </c>
      <c r="T272" s="25">
        <v>1568</v>
      </c>
      <c r="U272" s="34">
        <v>0</v>
      </c>
      <c r="V272" s="164"/>
      <c r="W272" s="43" t="s">
        <v>20</v>
      </c>
    </row>
    <row r="273" spans="1:23" x14ac:dyDescent="0.25">
      <c r="A273" s="190"/>
      <c r="B273" s="163"/>
      <c r="C273" s="163"/>
      <c r="D273" s="163"/>
      <c r="E273" s="163"/>
      <c r="F273" s="28" t="s">
        <v>129</v>
      </c>
      <c r="G273" s="25">
        <v>80</v>
      </c>
      <c r="H273" s="25">
        <v>48</v>
      </c>
      <c r="I273" s="25">
        <f t="shared" si="39"/>
        <v>128</v>
      </c>
      <c r="J273" s="34">
        <v>0</v>
      </c>
      <c r="K273" s="25">
        <v>80</v>
      </c>
      <c r="L273" s="34">
        <v>0</v>
      </c>
      <c r="M273" s="34">
        <v>0</v>
      </c>
      <c r="N273" s="34">
        <v>0</v>
      </c>
      <c r="O273" s="34">
        <v>0</v>
      </c>
      <c r="P273" s="34">
        <v>0</v>
      </c>
      <c r="Q273" s="25">
        <v>48</v>
      </c>
      <c r="R273" s="34">
        <v>0</v>
      </c>
      <c r="S273" s="34">
        <v>0</v>
      </c>
      <c r="T273" s="34">
        <v>0</v>
      </c>
      <c r="U273" s="34">
        <v>0</v>
      </c>
      <c r="V273" s="164"/>
      <c r="W273" s="43" t="s">
        <v>20</v>
      </c>
    </row>
    <row r="274" spans="1:23" x14ac:dyDescent="0.25">
      <c r="A274" s="190"/>
      <c r="B274" s="163"/>
      <c r="C274" s="163"/>
      <c r="D274" s="163"/>
      <c r="E274" s="163"/>
      <c r="F274" s="28" t="s">
        <v>17</v>
      </c>
      <c r="G274" s="25">
        <v>132</v>
      </c>
      <c r="H274" s="25">
        <v>153</v>
      </c>
      <c r="I274" s="25">
        <f t="shared" si="39"/>
        <v>285</v>
      </c>
      <c r="J274" s="34">
        <v>0</v>
      </c>
      <c r="K274" s="34">
        <v>0</v>
      </c>
      <c r="L274" s="34">
        <v>0</v>
      </c>
      <c r="M274" s="34">
        <v>0</v>
      </c>
      <c r="N274" s="25">
        <v>132</v>
      </c>
      <c r="O274" s="34">
        <v>0</v>
      </c>
      <c r="P274" s="34">
        <v>0</v>
      </c>
      <c r="Q274" s="34">
        <v>0</v>
      </c>
      <c r="R274" s="34">
        <v>0</v>
      </c>
      <c r="S274" s="34">
        <v>0</v>
      </c>
      <c r="T274" s="25">
        <v>153</v>
      </c>
      <c r="U274" s="34">
        <v>0</v>
      </c>
      <c r="V274" s="164"/>
      <c r="W274" s="43" t="s">
        <v>20</v>
      </c>
    </row>
    <row r="275" spans="1:23" x14ac:dyDescent="0.25">
      <c r="A275" s="190"/>
      <c r="B275" s="163"/>
      <c r="C275" s="163"/>
      <c r="D275" s="163"/>
      <c r="E275" s="163"/>
      <c r="F275" s="28" t="s">
        <v>19</v>
      </c>
      <c r="G275" s="25">
        <v>696</v>
      </c>
      <c r="H275" s="25">
        <v>762</v>
      </c>
      <c r="I275" s="25">
        <f t="shared" si="39"/>
        <v>1458</v>
      </c>
      <c r="J275" s="34">
        <v>0</v>
      </c>
      <c r="K275" s="34">
        <v>0</v>
      </c>
      <c r="L275" s="34">
        <v>0</v>
      </c>
      <c r="M275" s="34">
        <v>0</v>
      </c>
      <c r="N275" s="25">
        <v>696</v>
      </c>
      <c r="O275" s="34">
        <v>0</v>
      </c>
      <c r="P275" s="34">
        <v>0</v>
      </c>
      <c r="Q275" s="34">
        <v>0</v>
      </c>
      <c r="R275" s="34">
        <v>0</v>
      </c>
      <c r="S275" s="34">
        <v>0</v>
      </c>
      <c r="T275" s="25">
        <v>762</v>
      </c>
      <c r="U275" s="34">
        <v>0</v>
      </c>
      <c r="V275" s="164"/>
      <c r="W275" s="43" t="s">
        <v>20</v>
      </c>
    </row>
    <row r="276" spans="1:23" x14ac:dyDescent="0.25">
      <c r="A276" s="190"/>
      <c r="B276" s="163"/>
      <c r="C276" s="163"/>
      <c r="D276" s="163"/>
      <c r="E276" s="163"/>
      <c r="F276" s="28" t="s">
        <v>133</v>
      </c>
      <c r="G276" s="25">
        <f>295+59</f>
        <v>354</v>
      </c>
      <c r="H276" s="25">
        <f>769+217</f>
        <v>986</v>
      </c>
      <c r="I276" s="25">
        <f t="shared" si="39"/>
        <v>1340</v>
      </c>
      <c r="J276" s="34">
        <v>0</v>
      </c>
      <c r="K276" s="34">
        <v>0</v>
      </c>
      <c r="L276" s="34">
        <v>0</v>
      </c>
      <c r="M276" s="34">
        <v>0</v>
      </c>
      <c r="N276" s="25">
        <f>295+59</f>
        <v>354</v>
      </c>
      <c r="O276" s="34">
        <v>0</v>
      </c>
      <c r="P276" s="34">
        <v>0</v>
      </c>
      <c r="Q276" s="34">
        <v>0</v>
      </c>
      <c r="R276" s="34">
        <v>0</v>
      </c>
      <c r="S276" s="34">
        <v>0</v>
      </c>
      <c r="T276" s="25">
        <f>769+217</f>
        <v>986</v>
      </c>
      <c r="U276" s="34">
        <v>0</v>
      </c>
      <c r="V276" s="164"/>
      <c r="W276" s="43" t="s">
        <v>20</v>
      </c>
    </row>
    <row r="277" spans="1:23" x14ac:dyDescent="0.25">
      <c r="A277" s="190"/>
      <c r="B277" s="163"/>
      <c r="C277" s="163"/>
      <c r="D277" s="163"/>
      <c r="E277" s="163"/>
      <c r="F277" s="28" t="s">
        <v>128</v>
      </c>
      <c r="G277" s="25">
        <v>323</v>
      </c>
      <c r="H277" s="25">
        <v>181</v>
      </c>
      <c r="I277" s="25">
        <f t="shared" si="39"/>
        <v>504</v>
      </c>
      <c r="J277" s="34">
        <v>0</v>
      </c>
      <c r="K277" s="34">
        <v>0</v>
      </c>
      <c r="L277" s="34">
        <v>0</v>
      </c>
      <c r="M277" s="34">
        <v>0</v>
      </c>
      <c r="N277" s="25">
        <v>323</v>
      </c>
      <c r="O277" s="34">
        <v>0</v>
      </c>
      <c r="P277" s="34">
        <v>0</v>
      </c>
      <c r="Q277" s="34">
        <v>0</v>
      </c>
      <c r="R277" s="34">
        <v>0</v>
      </c>
      <c r="S277" s="34">
        <v>0</v>
      </c>
      <c r="T277" s="25">
        <v>181</v>
      </c>
      <c r="U277" s="34">
        <v>0</v>
      </c>
      <c r="V277" s="164"/>
      <c r="W277" s="43" t="s">
        <v>20</v>
      </c>
    </row>
    <row r="278" spans="1:23" x14ac:dyDescent="0.25">
      <c r="A278" s="190"/>
      <c r="B278" s="163"/>
      <c r="C278" s="163"/>
      <c r="D278" s="163"/>
      <c r="E278" s="163"/>
      <c r="F278" s="28" t="s">
        <v>21</v>
      </c>
      <c r="G278" s="25">
        <v>668</v>
      </c>
      <c r="H278" s="25">
        <v>365</v>
      </c>
      <c r="I278" s="25">
        <f t="shared" si="39"/>
        <v>1033</v>
      </c>
      <c r="J278" s="34">
        <v>0</v>
      </c>
      <c r="K278" s="25">
        <v>668</v>
      </c>
      <c r="L278" s="34">
        <v>0</v>
      </c>
      <c r="M278" s="34">
        <v>0</v>
      </c>
      <c r="N278" s="34">
        <v>0</v>
      </c>
      <c r="O278" s="34">
        <v>0</v>
      </c>
      <c r="P278" s="34">
        <v>0</v>
      </c>
      <c r="Q278" s="25">
        <v>365</v>
      </c>
      <c r="R278" s="34">
        <v>0</v>
      </c>
      <c r="S278" s="34">
        <v>0</v>
      </c>
      <c r="T278" s="34">
        <v>0</v>
      </c>
      <c r="U278" s="34">
        <v>0</v>
      </c>
      <c r="V278" s="164"/>
      <c r="W278" s="43" t="s">
        <v>20</v>
      </c>
    </row>
    <row r="279" spans="1:23" x14ac:dyDescent="0.25">
      <c r="A279" s="190"/>
      <c r="B279" s="163"/>
      <c r="C279" s="163"/>
      <c r="D279" s="163"/>
      <c r="E279" s="163"/>
      <c r="F279" s="28" t="s">
        <v>43</v>
      </c>
      <c r="G279" s="25">
        <v>596</v>
      </c>
      <c r="H279" s="25">
        <v>170</v>
      </c>
      <c r="I279" s="25">
        <f t="shared" si="39"/>
        <v>766</v>
      </c>
      <c r="J279" s="34">
        <v>0</v>
      </c>
      <c r="K279" s="34">
        <v>0</v>
      </c>
      <c r="L279" s="34">
        <v>0</v>
      </c>
      <c r="M279" s="34">
        <v>0</v>
      </c>
      <c r="N279" s="25">
        <v>596</v>
      </c>
      <c r="O279" s="34">
        <v>0</v>
      </c>
      <c r="P279" s="34">
        <v>0</v>
      </c>
      <c r="Q279" s="34">
        <v>0</v>
      </c>
      <c r="R279" s="34">
        <v>0</v>
      </c>
      <c r="S279" s="34">
        <v>0</v>
      </c>
      <c r="T279" s="25">
        <v>170</v>
      </c>
      <c r="U279" s="34">
        <v>0</v>
      </c>
      <c r="V279" s="164"/>
      <c r="W279" s="43" t="s">
        <v>20</v>
      </c>
    </row>
    <row r="280" spans="1:23" x14ac:dyDescent="0.25">
      <c r="A280" s="190"/>
      <c r="B280" s="163"/>
      <c r="C280" s="163"/>
      <c r="D280" s="163"/>
      <c r="E280" s="163"/>
      <c r="F280" s="28" t="s">
        <v>23</v>
      </c>
      <c r="G280" s="25">
        <v>1177</v>
      </c>
      <c r="H280" s="25">
        <v>1126</v>
      </c>
      <c r="I280" s="25">
        <f t="shared" si="39"/>
        <v>2303</v>
      </c>
      <c r="J280" s="34">
        <v>0</v>
      </c>
      <c r="K280" s="25">
        <v>409</v>
      </c>
      <c r="L280" s="34">
        <v>0</v>
      </c>
      <c r="M280" s="34">
        <v>0</v>
      </c>
      <c r="N280" s="25">
        <v>768</v>
      </c>
      <c r="O280" s="34">
        <v>0</v>
      </c>
      <c r="P280" s="34">
        <v>0</v>
      </c>
      <c r="Q280" s="25">
        <v>136</v>
      </c>
      <c r="R280" s="34">
        <v>0</v>
      </c>
      <c r="S280" s="34">
        <v>0</v>
      </c>
      <c r="T280" s="25">
        <v>990</v>
      </c>
      <c r="U280" s="34">
        <v>0</v>
      </c>
      <c r="V280" s="164"/>
      <c r="W280" s="43" t="s">
        <v>20</v>
      </c>
    </row>
    <row r="281" spans="1:23" x14ac:dyDescent="0.25">
      <c r="A281" s="190"/>
      <c r="B281" s="163"/>
      <c r="C281" s="163"/>
      <c r="D281" s="163"/>
      <c r="E281" s="163"/>
      <c r="F281" s="28" t="s">
        <v>28</v>
      </c>
      <c r="G281" s="25">
        <v>1255</v>
      </c>
      <c r="H281" s="25">
        <v>829</v>
      </c>
      <c r="I281" s="25">
        <f t="shared" si="39"/>
        <v>2084</v>
      </c>
      <c r="J281" s="34">
        <v>0</v>
      </c>
      <c r="K281" s="25">
        <v>277</v>
      </c>
      <c r="L281" s="34">
        <v>0</v>
      </c>
      <c r="M281" s="34">
        <v>0</v>
      </c>
      <c r="N281" s="25">
        <v>978</v>
      </c>
      <c r="O281" s="34">
        <v>0</v>
      </c>
      <c r="P281" s="34">
        <v>0</v>
      </c>
      <c r="Q281" s="25">
        <v>2</v>
      </c>
      <c r="R281" s="34">
        <v>0</v>
      </c>
      <c r="S281" s="34">
        <v>0</v>
      </c>
      <c r="T281" s="25">
        <v>827</v>
      </c>
      <c r="U281" s="34">
        <v>0</v>
      </c>
      <c r="V281" s="164"/>
      <c r="W281" s="43" t="s">
        <v>20</v>
      </c>
    </row>
    <row r="282" spans="1:23" x14ac:dyDescent="0.25">
      <c r="A282" s="190"/>
      <c r="B282" s="163"/>
      <c r="C282" s="163"/>
      <c r="D282" s="163"/>
      <c r="E282" s="163"/>
      <c r="F282" s="28" t="s">
        <v>700</v>
      </c>
      <c r="G282" s="25">
        <v>377</v>
      </c>
      <c r="H282" s="25">
        <v>281</v>
      </c>
      <c r="I282" s="25">
        <f t="shared" si="39"/>
        <v>658</v>
      </c>
      <c r="J282" s="34">
        <v>0</v>
      </c>
      <c r="K282" s="34">
        <v>0</v>
      </c>
      <c r="L282" s="34">
        <v>0</v>
      </c>
      <c r="M282" s="34">
        <v>0</v>
      </c>
      <c r="N282" s="25">
        <v>377</v>
      </c>
      <c r="O282" s="34">
        <v>0</v>
      </c>
      <c r="P282" s="34">
        <v>0</v>
      </c>
      <c r="Q282" s="34">
        <v>0</v>
      </c>
      <c r="R282" s="34">
        <v>0</v>
      </c>
      <c r="S282" s="34">
        <v>0</v>
      </c>
      <c r="T282" s="25">
        <v>281</v>
      </c>
      <c r="U282" s="34">
        <v>0</v>
      </c>
      <c r="V282" s="164"/>
      <c r="W282" s="43" t="s">
        <v>20</v>
      </c>
    </row>
    <row r="283" spans="1:23" x14ac:dyDescent="0.25">
      <c r="A283" s="190"/>
      <c r="B283" s="163"/>
      <c r="C283" s="163"/>
      <c r="D283" s="163"/>
      <c r="E283" s="163"/>
      <c r="F283" s="28" t="s">
        <v>134</v>
      </c>
      <c r="G283" s="25">
        <v>73</v>
      </c>
      <c r="H283" s="25">
        <v>560</v>
      </c>
      <c r="I283" s="25">
        <f t="shared" si="39"/>
        <v>633</v>
      </c>
      <c r="J283" s="34">
        <v>0</v>
      </c>
      <c r="K283" s="34">
        <v>0</v>
      </c>
      <c r="L283" s="34">
        <v>0</v>
      </c>
      <c r="M283" s="25">
        <v>73</v>
      </c>
      <c r="N283" s="34">
        <v>0</v>
      </c>
      <c r="O283" s="34">
        <v>0</v>
      </c>
      <c r="P283" s="34">
        <v>0</v>
      </c>
      <c r="Q283" s="34">
        <v>0</v>
      </c>
      <c r="R283" s="34">
        <v>0</v>
      </c>
      <c r="S283" s="25">
        <v>560</v>
      </c>
      <c r="T283" s="34">
        <v>0</v>
      </c>
      <c r="U283" s="34">
        <v>0</v>
      </c>
      <c r="V283" s="164"/>
      <c r="W283" s="43" t="s">
        <v>20</v>
      </c>
    </row>
    <row r="284" spans="1:23" x14ac:dyDescent="0.25">
      <c r="A284" s="190"/>
      <c r="B284" s="163"/>
      <c r="C284" s="163"/>
      <c r="D284" s="163"/>
      <c r="E284" s="163"/>
      <c r="F284" s="28" t="s">
        <v>98</v>
      </c>
      <c r="G284" s="25">
        <v>0</v>
      </c>
      <c r="H284" s="25">
        <v>0</v>
      </c>
      <c r="I284" s="25">
        <f t="shared" si="39"/>
        <v>0</v>
      </c>
      <c r="J284" s="34">
        <v>0</v>
      </c>
      <c r="K284" s="34">
        <v>0</v>
      </c>
      <c r="L284" s="34">
        <v>0</v>
      </c>
      <c r="M284" s="34">
        <v>0</v>
      </c>
      <c r="N284" s="34">
        <v>0</v>
      </c>
      <c r="O284" s="34">
        <v>0</v>
      </c>
      <c r="P284" s="34">
        <v>0</v>
      </c>
      <c r="Q284" s="34">
        <v>0</v>
      </c>
      <c r="R284" s="34">
        <v>0</v>
      </c>
      <c r="S284" s="34">
        <v>0</v>
      </c>
      <c r="T284" s="34">
        <v>0</v>
      </c>
      <c r="U284" s="34">
        <v>0</v>
      </c>
      <c r="V284" s="164"/>
      <c r="W284" s="43" t="s">
        <v>20</v>
      </c>
    </row>
    <row r="285" spans="1:23" x14ac:dyDescent="0.25">
      <c r="A285" s="190"/>
      <c r="B285" s="163"/>
      <c r="C285" s="163"/>
      <c r="D285" s="163"/>
      <c r="E285" s="163"/>
      <c r="F285" s="28" t="s">
        <v>32</v>
      </c>
      <c r="G285" s="25">
        <v>277</v>
      </c>
      <c r="H285" s="25">
        <v>169</v>
      </c>
      <c r="I285" s="25">
        <f t="shared" si="39"/>
        <v>446</v>
      </c>
      <c r="J285" s="25">
        <v>277</v>
      </c>
      <c r="K285" s="34">
        <v>0</v>
      </c>
      <c r="L285" s="34">
        <v>0</v>
      </c>
      <c r="M285" s="34">
        <v>0</v>
      </c>
      <c r="N285" s="34">
        <v>0</v>
      </c>
      <c r="O285" s="34">
        <v>0</v>
      </c>
      <c r="P285" s="25">
        <v>169</v>
      </c>
      <c r="Q285" s="34">
        <v>0</v>
      </c>
      <c r="R285" s="34">
        <v>0</v>
      </c>
      <c r="S285" s="34">
        <v>0</v>
      </c>
      <c r="T285" s="34">
        <v>0</v>
      </c>
      <c r="U285" s="34">
        <v>0</v>
      </c>
      <c r="V285" s="164"/>
      <c r="W285" s="43" t="s">
        <v>20</v>
      </c>
    </row>
    <row r="286" spans="1:23" x14ac:dyDescent="0.25">
      <c r="A286" s="190"/>
      <c r="B286" s="163"/>
      <c r="C286" s="163"/>
      <c r="D286" s="163"/>
      <c r="E286" s="163"/>
      <c r="F286" s="28" t="s">
        <v>30</v>
      </c>
      <c r="G286" s="25">
        <v>95</v>
      </c>
      <c r="H286" s="25">
        <v>2708</v>
      </c>
      <c r="I286" s="25">
        <f t="shared" si="39"/>
        <v>2803</v>
      </c>
      <c r="J286" s="25">
        <v>95</v>
      </c>
      <c r="K286" s="34">
        <v>0</v>
      </c>
      <c r="L286" s="34">
        <v>0</v>
      </c>
      <c r="M286" s="34">
        <v>0</v>
      </c>
      <c r="N286" s="34">
        <v>0</v>
      </c>
      <c r="O286" s="34">
        <v>0</v>
      </c>
      <c r="P286" s="25">
        <v>2708</v>
      </c>
      <c r="Q286" s="34">
        <v>0</v>
      </c>
      <c r="R286" s="34">
        <v>0</v>
      </c>
      <c r="S286" s="34">
        <v>0</v>
      </c>
      <c r="T286" s="34">
        <v>0</v>
      </c>
      <c r="U286" s="34">
        <v>0</v>
      </c>
      <c r="V286" s="164"/>
      <c r="W286" s="43" t="s">
        <v>20</v>
      </c>
    </row>
    <row r="287" spans="1:23" x14ac:dyDescent="0.25">
      <c r="A287" s="190"/>
      <c r="B287" s="163"/>
      <c r="C287" s="163"/>
      <c r="D287" s="163"/>
      <c r="E287" s="163"/>
      <c r="F287" s="28" t="s">
        <v>151</v>
      </c>
      <c r="G287" s="25">
        <v>450</v>
      </c>
      <c r="H287" s="25">
        <v>1702</v>
      </c>
      <c r="I287" s="25">
        <f t="shared" si="39"/>
        <v>2152</v>
      </c>
      <c r="J287" s="25">
        <v>450</v>
      </c>
      <c r="K287" s="34">
        <v>0</v>
      </c>
      <c r="L287" s="34">
        <v>0</v>
      </c>
      <c r="M287" s="34">
        <v>0</v>
      </c>
      <c r="N287" s="34">
        <v>0</v>
      </c>
      <c r="O287" s="34">
        <v>0</v>
      </c>
      <c r="P287" s="25">
        <v>1702</v>
      </c>
      <c r="Q287" s="34">
        <v>0</v>
      </c>
      <c r="R287" s="34">
        <v>0</v>
      </c>
      <c r="S287" s="34">
        <v>0</v>
      </c>
      <c r="T287" s="34">
        <v>0</v>
      </c>
      <c r="U287" s="34">
        <v>0</v>
      </c>
      <c r="V287" s="164"/>
      <c r="W287" s="43" t="s">
        <v>20</v>
      </c>
    </row>
    <row r="288" spans="1:23" x14ac:dyDescent="0.25">
      <c r="A288" s="190"/>
      <c r="B288" s="163"/>
      <c r="C288" s="163"/>
      <c r="D288" s="163"/>
      <c r="E288" s="163"/>
      <c r="F288" s="28" t="s">
        <v>152</v>
      </c>
      <c r="G288" s="25">
        <v>330</v>
      </c>
      <c r="H288" s="25">
        <v>3910</v>
      </c>
      <c r="I288" s="25">
        <f t="shared" si="39"/>
        <v>4240</v>
      </c>
      <c r="J288" s="25">
        <v>330</v>
      </c>
      <c r="K288" s="34">
        <v>0</v>
      </c>
      <c r="L288" s="34">
        <v>0</v>
      </c>
      <c r="M288" s="34">
        <v>0</v>
      </c>
      <c r="N288" s="34">
        <v>0</v>
      </c>
      <c r="O288" s="34">
        <v>0</v>
      </c>
      <c r="P288" s="25">
        <v>3910</v>
      </c>
      <c r="Q288" s="34">
        <v>0</v>
      </c>
      <c r="R288" s="34">
        <v>0</v>
      </c>
      <c r="S288" s="34">
        <v>0</v>
      </c>
      <c r="T288" s="34">
        <v>0</v>
      </c>
      <c r="U288" s="34">
        <v>0</v>
      </c>
      <c r="V288" s="164"/>
      <c r="W288" s="43" t="s">
        <v>20</v>
      </c>
    </row>
    <row r="289" spans="1:23" x14ac:dyDescent="0.25">
      <c r="A289" s="190"/>
      <c r="B289" s="163"/>
      <c r="C289" s="163"/>
      <c r="D289" s="163"/>
      <c r="E289" s="163"/>
      <c r="F289" s="29" t="s">
        <v>153</v>
      </c>
      <c r="G289" s="25">
        <v>985</v>
      </c>
      <c r="H289" s="25">
        <v>4985</v>
      </c>
      <c r="I289" s="25">
        <f t="shared" si="39"/>
        <v>5970</v>
      </c>
      <c r="J289" s="25">
        <v>985</v>
      </c>
      <c r="K289" s="34">
        <v>0</v>
      </c>
      <c r="L289" s="34">
        <v>0</v>
      </c>
      <c r="M289" s="34">
        <v>0</v>
      </c>
      <c r="N289" s="34">
        <v>0</v>
      </c>
      <c r="O289" s="34">
        <v>0</v>
      </c>
      <c r="P289" s="25">
        <v>4985</v>
      </c>
      <c r="Q289" s="34">
        <v>0</v>
      </c>
      <c r="R289" s="34">
        <v>0</v>
      </c>
      <c r="S289" s="34">
        <v>0</v>
      </c>
      <c r="T289" s="34">
        <v>0</v>
      </c>
      <c r="U289" s="34">
        <v>0</v>
      </c>
      <c r="V289" s="164"/>
      <c r="W289" s="43" t="s">
        <v>20</v>
      </c>
    </row>
    <row r="290" spans="1:23" x14ac:dyDescent="0.25">
      <c r="A290" s="190"/>
      <c r="B290" s="163"/>
      <c r="C290" s="163"/>
      <c r="D290" s="163"/>
      <c r="E290" s="163"/>
      <c r="F290" s="29" t="s">
        <v>61</v>
      </c>
      <c r="G290" s="25">
        <v>2240</v>
      </c>
      <c r="H290" s="25">
        <v>6631</v>
      </c>
      <c r="I290" s="25">
        <f t="shared" si="39"/>
        <v>8871</v>
      </c>
      <c r="J290" s="34">
        <v>0</v>
      </c>
      <c r="K290" s="34">
        <v>0</v>
      </c>
      <c r="L290" s="34">
        <v>0</v>
      </c>
      <c r="M290" s="34">
        <v>0</v>
      </c>
      <c r="N290" s="25">
        <v>2240</v>
      </c>
      <c r="O290" s="34">
        <v>0</v>
      </c>
      <c r="P290" s="34">
        <v>0</v>
      </c>
      <c r="Q290" s="34">
        <v>0</v>
      </c>
      <c r="R290" s="34">
        <v>0</v>
      </c>
      <c r="S290" s="34">
        <v>0</v>
      </c>
      <c r="T290" s="25">
        <v>6631</v>
      </c>
      <c r="U290" s="34">
        <v>0</v>
      </c>
      <c r="V290" s="164"/>
      <c r="W290" s="43" t="s">
        <v>20</v>
      </c>
    </row>
    <row r="291" spans="1:23" x14ac:dyDescent="0.25">
      <c r="A291" s="190"/>
      <c r="B291" s="163"/>
      <c r="C291" s="163"/>
      <c r="D291" s="163"/>
      <c r="E291" s="163"/>
      <c r="F291" s="29" t="s">
        <v>736</v>
      </c>
      <c r="G291" s="25">
        <v>3177</v>
      </c>
      <c r="H291" s="25">
        <v>7277</v>
      </c>
      <c r="I291" s="25">
        <f t="shared" si="39"/>
        <v>10454</v>
      </c>
      <c r="J291" s="34">
        <v>0</v>
      </c>
      <c r="K291" s="34">
        <v>0</v>
      </c>
      <c r="L291" s="34">
        <v>0</v>
      </c>
      <c r="M291" s="34">
        <v>0</v>
      </c>
      <c r="N291" s="25">
        <v>3177</v>
      </c>
      <c r="O291" s="34">
        <v>0</v>
      </c>
      <c r="P291" s="34">
        <v>0</v>
      </c>
      <c r="Q291" s="34">
        <v>0</v>
      </c>
      <c r="R291" s="34">
        <v>0</v>
      </c>
      <c r="S291" s="34">
        <v>0</v>
      </c>
      <c r="T291" s="25">
        <v>7277</v>
      </c>
      <c r="U291" s="34">
        <v>0</v>
      </c>
      <c r="V291" s="164"/>
      <c r="W291" s="43" t="s">
        <v>20</v>
      </c>
    </row>
    <row r="292" spans="1:23" x14ac:dyDescent="0.25">
      <c r="A292" s="190"/>
      <c r="B292" s="163"/>
      <c r="C292" s="163"/>
      <c r="D292" s="163"/>
      <c r="E292" s="163"/>
      <c r="F292" s="28" t="s">
        <v>773</v>
      </c>
      <c r="G292" s="25">
        <v>53042</v>
      </c>
      <c r="H292" s="25">
        <v>355900</v>
      </c>
      <c r="I292" s="25">
        <f t="shared" si="39"/>
        <v>408942</v>
      </c>
      <c r="J292" s="34">
        <v>0</v>
      </c>
      <c r="K292" s="34">
        <v>0</v>
      </c>
      <c r="L292" s="34">
        <v>0</v>
      </c>
      <c r="M292" s="34">
        <v>0</v>
      </c>
      <c r="N292" s="25">
        <v>53042</v>
      </c>
      <c r="O292" s="34">
        <v>0</v>
      </c>
      <c r="P292" s="34">
        <v>0</v>
      </c>
      <c r="Q292" s="34">
        <v>0</v>
      </c>
      <c r="R292" s="34">
        <v>0</v>
      </c>
      <c r="S292" s="34">
        <v>0</v>
      </c>
      <c r="T292" s="34">
        <v>0</v>
      </c>
      <c r="U292" s="25">
        <v>355900</v>
      </c>
      <c r="V292" s="164"/>
      <c r="W292" s="43" t="s">
        <v>20</v>
      </c>
    </row>
    <row r="293" spans="1:23" x14ac:dyDescent="0.25">
      <c r="A293" s="190"/>
      <c r="B293" s="163"/>
      <c r="C293" s="163"/>
      <c r="D293" s="163"/>
      <c r="E293" s="163"/>
      <c r="F293" s="26" t="s">
        <v>702</v>
      </c>
      <c r="G293" s="27">
        <f>SUM(G262:G292)</f>
        <v>77483</v>
      </c>
      <c r="H293" s="27">
        <f>SUM(H262:H292)</f>
        <v>397851</v>
      </c>
      <c r="I293" s="194">
        <f t="shared" si="39"/>
        <v>475334</v>
      </c>
      <c r="J293" s="27">
        <f t="shared" ref="J293:U293" si="40">SUM(J262:J292)</f>
        <v>2411</v>
      </c>
      <c r="K293" s="27">
        <f t="shared" si="40"/>
        <v>6131</v>
      </c>
      <c r="L293" s="27">
        <f t="shared" si="40"/>
        <v>0</v>
      </c>
      <c r="M293" s="27">
        <f t="shared" si="40"/>
        <v>73</v>
      </c>
      <c r="N293" s="27">
        <f t="shared" si="40"/>
        <v>68868</v>
      </c>
      <c r="O293" s="27">
        <f t="shared" si="40"/>
        <v>0</v>
      </c>
      <c r="P293" s="27">
        <f t="shared" si="40"/>
        <v>13759</v>
      </c>
      <c r="Q293" s="27">
        <f t="shared" si="40"/>
        <v>1223</v>
      </c>
      <c r="R293" s="27">
        <f t="shared" si="40"/>
        <v>0</v>
      </c>
      <c r="S293" s="27">
        <f t="shared" si="40"/>
        <v>560</v>
      </c>
      <c r="T293" s="27">
        <f t="shared" si="40"/>
        <v>25671</v>
      </c>
      <c r="U293" s="27">
        <f t="shared" si="40"/>
        <v>356638</v>
      </c>
      <c r="V293" s="30"/>
      <c r="W293" s="30"/>
    </row>
    <row r="294" spans="1:23" x14ac:dyDescent="0.25">
      <c r="A294" s="190" t="s">
        <v>807</v>
      </c>
      <c r="B294" s="163">
        <v>2022</v>
      </c>
      <c r="C294" s="163" t="s">
        <v>808</v>
      </c>
      <c r="D294" s="163" t="s">
        <v>819</v>
      </c>
      <c r="E294" s="193" t="s">
        <v>815</v>
      </c>
      <c r="F294" s="28" t="s">
        <v>809</v>
      </c>
      <c r="G294" s="25">
        <v>20464</v>
      </c>
      <c r="H294" s="25">
        <v>22244</v>
      </c>
      <c r="I294" s="25">
        <f t="shared" si="39"/>
        <v>42708</v>
      </c>
      <c r="J294" s="34">
        <v>0</v>
      </c>
      <c r="K294" s="34">
        <v>0</v>
      </c>
      <c r="L294" s="34">
        <v>0</v>
      </c>
      <c r="M294" s="34">
        <v>0</v>
      </c>
      <c r="N294" s="25">
        <v>20464</v>
      </c>
      <c r="O294" s="34">
        <v>0</v>
      </c>
      <c r="P294" s="34">
        <v>0</v>
      </c>
      <c r="Q294" s="34">
        <v>0</v>
      </c>
      <c r="R294" s="34">
        <v>0</v>
      </c>
      <c r="S294" s="34">
        <v>0</v>
      </c>
      <c r="T294" s="25">
        <v>22244</v>
      </c>
      <c r="U294" s="34">
        <v>0</v>
      </c>
      <c r="V294" s="164" t="s">
        <v>11</v>
      </c>
      <c r="W294" s="43" t="s">
        <v>974</v>
      </c>
    </row>
    <row r="295" spans="1:23" x14ac:dyDescent="0.25">
      <c r="A295" s="190"/>
      <c r="B295" s="163"/>
      <c r="C295" s="163"/>
      <c r="D295" s="163"/>
      <c r="E295" s="163"/>
      <c r="F295" s="28" t="s">
        <v>39</v>
      </c>
      <c r="G295" s="25">
        <v>6497</v>
      </c>
      <c r="H295" s="25">
        <v>6785</v>
      </c>
      <c r="I295" s="25">
        <f t="shared" si="39"/>
        <v>13282</v>
      </c>
      <c r="J295" s="34">
        <v>0</v>
      </c>
      <c r="K295" s="34">
        <v>0</v>
      </c>
      <c r="L295" s="34">
        <v>0</v>
      </c>
      <c r="M295" s="34">
        <v>0</v>
      </c>
      <c r="N295" s="25">
        <v>6497</v>
      </c>
      <c r="O295" s="34">
        <v>0</v>
      </c>
      <c r="P295" s="34">
        <v>0</v>
      </c>
      <c r="Q295" s="34">
        <v>0</v>
      </c>
      <c r="R295" s="34">
        <v>0</v>
      </c>
      <c r="S295" s="34">
        <v>0</v>
      </c>
      <c r="T295" s="25">
        <v>6785</v>
      </c>
      <c r="U295" s="34">
        <v>0</v>
      </c>
      <c r="V295" s="164"/>
      <c r="W295" s="43" t="s">
        <v>997</v>
      </c>
    </row>
    <row r="296" spans="1:23" x14ac:dyDescent="0.25">
      <c r="A296" s="190"/>
      <c r="B296" s="163"/>
      <c r="C296" s="163"/>
      <c r="D296" s="163"/>
      <c r="E296" s="163"/>
      <c r="F296" s="32" t="s">
        <v>153</v>
      </c>
      <c r="G296" s="25">
        <v>1306</v>
      </c>
      <c r="H296" s="25">
        <v>6700</v>
      </c>
      <c r="I296" s="25">
        <f t="shared" si="39"/>
        <v>8006</v>
      </c>
      <c r="J296" s="25">
        <v>1306</v>
      </c>
      <c r="K296" s="34">
        <v>0</v>
      </c>
      <c r="L296" s="34">
        <v>0</v>
      </c>
      <c r="M296" s="34">
        <v>0</v>
      </c>
      <c r="N296" s="34">
        <v>0</v>
      </c>
      <c r="O296" s="34">
        <v>0</v>
      </c>
      <c r="P296" s="25">
        <v>6700</v>
      </c>
      <c r="Q296" s="34">
        <v>0</v>
      </c>
      <c r="R296" s="34">
        <v>0</v>
      </c>
      <c r="S296" s="34">
        <v>0</v>
      </c>
      <c r="T296" s="34">
        <v>0</v>
      </c>
      <c r="U296" s="34">
        <v>0</v>
      </c>
      <c r="V296" s="164"/>
      <c r="W296" s="43" t="s">
        <v>964</v>
      </c>
    </row>
    <row r="297" spans="1:23" x14ac:dyDescent="0.25">
      <c r="A297" s="190"/>
      <c r="B297" s="163"/>
      <c r="C297" s="163"/>
      <c r="D297" s="163"/>
      <c r="E297" s="163"/>
      <c r="F297" s="28" t="s">
        <v>61</v>
      </c>
      <c r="G297" s="25">
        <v>2400</v>
      </c>
      <c r="H297" s="199">
        <v>6338</v>
      </c>
      <c r="I297" s="25">
        <f t="shared" si="39"/>
        <v>8738</v>
      </c>
      <c r="J297" s="34">
        <v>0</v>
      </c>
      <c r="K297" s="34">
        <v>0</v>
      </c>
      <c r="L297" s="34">
        <v>0</v>
      </c>
      <c r="M297" s="34">
        <v>0</v>
      </c>
      <c r="N297" s="25">
        <v>2400</v>
      </c>
      <c r="O297" s="34">
        <v>0</v>
      </c>
      <c r="P297" s="34">
        <v>0</v>
      </c>
      <c r="Q297" s="34">
        <v>0</v>
      </c>
      <c r="R297" s="34">
        <v>0</v>
      </c>
      <c r="S297" s="34">
        <v>0</v>
      </c>
      <c r="T297" s="199">
        <v>6338</v>
      </c>
      <c r="U297" s="34">
        <v>0</v>
      </c>
      <c r="V297" s="164"/>
      <c r="W297" s="43" t="s">
        <v>963</v>
      </c>
    </row>
    <row r="298" spans="1:23" ht="14.25" customHeight="1" x14ac:dyDescent="0.25">
      <c r="A298" s="190"/>
      <c r="B298" s="163"/>
      <c r="C298" s="163"/>
      <c r="D298" s="163"/>
      <c r="E298" s="163"/>
      <c r="F298" s="28" t="s">
        <v>736</v>
      </c>
      <c r="G298" s="25">
        <v>3665</v>
      </c>
      <c r="H298" s="25">
        <v>8363</v>
      </c>
      <c r="I298" s="25">
        <f t="shared" si="39"/>
        <v>12028</v>
      </c>
      <c r="J298" s="34">
        <v>0</v>
      </c>
      <c r="K298" s="34">
        <v>0</v>
      </c>
      <c r="L298" s="34">
        <v>0</v>
      </c>
      <c r="M298" s="34">
        <v>0</v>
      </c>
      <c r="N298" s="25">
        <v>3665</v>
      </c>
      <c r="O298" s="34">
        <v>0</v>
      </c>
      <c r="P298" s="34">
        <v>0</v>
      </c>
      <c r="Q298" s="34">
        <v>0</v>
      </c>
      <c r="R298" s="34">
        <v>0</v>
      </c>
      <c r="S298" s="34">
        <v>0</v>
      </c>
      <c r="T298" s="25">
        <v>8363</v>
      </c>
      <c r="U298" s="34">
        <v>0</v>
      </c>
      <c r="V298" s="164"/>
      <c r="W298" s="43" t="s">
        <v>972</v>
      </c>
    </row>
    <row r="299" spans="1:23" x14ac:dyDescent="0.25">
      <c r="A299" s="190"/>
      <c r="B299" s="163"/>
      <c r="C299" s="163"/>
      <c r="D299" s="163"/>
      <c r="E299" s="163"/>
      <c r="F299" s="28" t="s">
        <v>776</v>
      </c>
      <c r="G299" s="25">
        <v>1693</v>
      </c>
      <c r="H299" s="25">
        <v>5926</v>
      </c>
      <c r="I299" s="25">
        <f t="shared" si="39"/>
        <v>7619</v>
      </c>
      <c r="J299" s="34">
        <v>0</v>
      </c>
      <c r="K299" s="34">
        <v>0</v>
      </c>
      <c r="L299" s="34">
        <v>0</v>
      </c>
      <c r="M299" s="34">
        <v>0</v>
      </c>
      <c r="N299" s="25">
        <v>1693</v>
      </c>
      <c r="O299" s="34">
        <v>0</v>
      </c>
      <c r="P299" s="34">
        <v>0</v>
      </c>
      <c r="Q299" s="34">
        <v>0</v>
      </c>
      <c r="R299" s="34">
        <v>0</v>
      </c>
      <c r="S299" s="34">
        <v>0</v>
      </c>
      <c r="T299" s="25">
        <v>5926</v>
      </c>
      <c r="U299" s="34">
        <v>0</v>
      </c>
      <c r="V299" s="164"/>
      <c r="W299" s="43" t="s">
        <v>1012</v>
      </c>
    </row>
    <row r="300" spans="1:23" x14ac:dyDescent="0.25">
      <c r="A300" s="190"/>
      <c r="B300" s="163"/>
      <c r="C300" s="163"/>
      <c r="D300" s="163"/>
      <c r="E300" s="163"/>
      <c r="F300" s="28" t="s">
        <v>41</v>
      </c>
      <c r="G300" s="25">
        <v>269</v>
      </c>
      <c r="H300" s="25">
        <v>675</v>
      </c>
      <c r="I300" s="25">
        <f t="shared" si="39"/>
        <v>944</v>
      </c>
      <c r="J300" s="34">
        <v>0</v>
      </c>
      <c r="K300" s="34">
        <v>0</v>
      </c>
      <c r="L300" s="34">
        <v>0</v>
      </c>
      <c r="M300" s="34">
        <v>0</v>
      </c>
      <c r="N300" s="25">
        <v>269</v>
      </c>
      <c r="O300" s="34">
        <v>0</v>
      </c>
      <c r="P300" s="34">
        <v>0</v>
      </c>
      <c r="Q300" s="34">
        <v>0</v>
      </c>
      <c r="R300" s="34">
        <v>0</v>
      </c>
      <c r="S300" s="34">
        <v>0</v>
      </c>
      <c r="T300" s="25">
        <v>675</v>
      </c>
      <c r="U300" s="34">
        <v>0</v>
      </c>
      <c r="V300" s="164"/>
      <c r="W300" s="43" t="s">
        <v>980</v>
      </c>
    </row>
    <row r="301" spans="1:23" x14ac:dyDescent="0.25">
      <c r="A301" s="190"/>
      <c r="B301" s="163"/>
      <c r="C301" s="163"/>
      <c r="D301" s="163"/>
      <c r="E301" s="163"/>
      <c r="F301" s="28" t="s">
        <v>91</v>
      </c>
      <c r="G301" s="25">
        <v>365</v>
      </c>
      <c r="H301" s="25">
        <v>6106</v>
      </c>
      <c r="I301" s="25">
        <f t="shared" si="39"/>
        <v>6471</v>
      </c>
      <c r="J301" s="34">
        <v>0</v>
      </c>
      <c r="K301" s="34">
        <v>0</v>
      </c>
      <c r="L301" s="34">
        <v>0</v>
      </c>
      <c r="M301" s="34">
        <v>0</v>
      </c>
      <c r="N301" s="25">
        <v>365</v>
      </c>
      <c r="O301" s="34">
        <v>0</v>
      </c>
      <c r="P301" s="34">
        <v>0</v>
      </c>
      <c r="Q301" s="34">
        <v>0</v>
      </c>
      <c r="R301" s="34">
        <v>0</v>
      </c>
      <c r="S301" s="34">
        <v>0</v>
      </c>
      <c r="T301" s="25">
        <v>6106</v>
      </c>
      <c r="U301" s="34">
        <v>0</v>
      </c>
      <c r="V301" s="164"/>
      <c r="W301" s="43" t="s">
        <v>1013</v>
      </c>
    </row>
    <row r="302" spans="1:23" x14ac:dyDescent="0.25">
      <c r="A302" s="190"/>
      <c r="B302" s="163"/>
      <c r="C302" s="163"/>
      <c r="D302" s="163"/>
      <c r="E302" s="163"/>
      <c r="F302" s="28" t="s">
        <v>773</v>
      </c>
      <c r="G302" s="25">
        <f>2447+ 46828</f>
        <v>49275</v>
      </c>
      <c r="H302" s="25">
        <v>338440</v>
      </c>
      <c r="I302" s="25">
        <f t="shared" si="39"/>
        <v>387715</v>
      </c>
      <c r="J302" s="34">
        <v>0</v>
      </c>
      <c r="K302" s="34">
        <v>0</v>
      </c>
      <c r="L302" s="34">
        <v>0</v>
      </c>
      <c r="M302" s="34">
        <v>0</v>
      </c>
      <c r="N302" s="25">
        <f>2447+ 46828</f>
        <v>49275</v>
      </c>
      <c r="O302" s="34">
        <v>0</v>
      </c>
      <c r="P302" s="34">
        <v>0</v>
      </c>
      <c r="Q302" s="34">
        <v>0</v>
      </c>
      <c r="R302" s="34">
        <v>0</v>
      </c>
      <c r="S302" s="34">
        <v>0</v>
      </c>
      <c r="T302" s="34">
        <v>0</v>
      </c>
      <c r="U302" s="25">
        <v>338440</v>
      </c>
      <c r="V302" s="164"/>
      <c r="W302" s="43" t="s">
        <v>982</v>
      </c>
    </row>
    <row r="303" spans="1:23" x14ac:dyDescent="0.25">
      <c r="A303" s="190"/>
      <c r="B303" s="163"/>
      <c r="C303" s="163"/>
      <c r="D303" s="163"/>
      <c r="E303" s="163"/>
      <c r="F303" s="26" t="s">
        <v>702</v>
      </c>
      <c r="G303" s="27">
        <f>SUM(G294:G302)</f>
        <v>85934</v>
      </c>
      <c r="H303" s="27">
        <f>SUM(H294:H302)</f>
        <v>401577</v>
      </c>
      <c r="I303" s="194">
        <f t="shared" si="39"/>
        <v>487511</v>
      </c>
      <c r="J303" s="27">
        <f t="shared" ref="J303:U303" si="41">SUM(J294:J302)</f>
        <v>1306</v>
      </c>
      <c r="K303" s="27">
        <f t="shared" si="41"/>
        <v>0</v>
      </c>
      <c r="L303" s="27">
        <f t="shared" si="41"/>
        <v>0</v>
      </c>
      <c r="M303" s="27">
        <f t="shared" si="41"/>
        <v>0</v>
      </c>
      <c r="N303" s="27">
        <f t="shared" si="41"/>
        <v>84628</v>
      </c>
      <c r="O303" s="27">
        <f t="shared" si="41"/>
        <v>0</v>
      </c>
      <c r="P303" s="27">
        <f t="shared" si="41"/>
        <v>6700</v>
      </c>
      <c r="Q303" s="27">
        <f t="shared" si="41"/>
        <v>0</v>
      </c>
      <c r="R303" s="27">
        <f t="shared" si="41"/>
        <v>0</v>
      </c>
      <c r="S303" s="27">
        <f t="shared" si="41"/>
        <v>0</v>
      </c>
      <c r="T303" s="27">
        <f t="shared" si="41"/>
        <v>56437</v>
      </c>
      <c r="U303" s="27">
        <f t="shared" si="41"/>
        <v>338440</v>
      </c>
      <c r="V303" s="30"/>
      <c r="W303" s="30"/>
    </row>
    <row r="304" spans="1:23" ht="20.85" customHeight="1" x14ac:dyDescent="0.25">
      <c r="A304" s="190" t="s">
        <v>810</v>
      </c>
      <c r="B304" s="163">
        <v>2022</v>
      </c>
      <c r="C304" s="163" t="s">
        <v>811</v>
      </c>
      <c r="D304" s="163" t="s">
        <v>818</v>
      </c>
      <c r="E304" s="193" t="s">
        <v>814</v>
      </c>
      <c r="F304" s="28" t="s">
        <v>63</v>
      </c>
      <c r="G304" s="25">
        <v>140</v>
      </c>
      <c r="H304" s="25">
        <v>798</v>
      </c>
      <c r="I304" s="25">
        <f t="shared" si="39"/>
        <v>938</v>
      </c>
      <c r="J304" s="25">
        <v>140</v>
      </c>
      <c r="K304" s="25">
        <v>0</v>
      </c>
      <c r="L304" s="25">
        <v>0</v>
      </c>
      <c r="M304" s="25">
        <v>0</v>
      </c>
      <c r="N304" s="25">
        <v>0</v>
      </c>
      <c r="O304" s="25">
        <v>0</v>
      </c>
      <c r="P304" s="25">
        <v>0</v>
      </c>
      <c r="Q304" s="25">
        <v>0</v>
      </c>
      <c r="R304" s="25">
        <v>0</v>
      </c>
      <c r="S304" s="25">
        <v>0</v>
      </c>
      <c r="T304" s="25">
        <v>798</v>
      </c>
      <c r="U304" s="25">
        <v>0</v>
      </c>
      <c r="V304" s="45" t="s">
        <v>50</v>
      </c>
      <c r="W304" s="43" t="s">
        <v>1014</v>
      </c>
    </row>
    <row r="305" spans="1:23" ht="20.85" customHeight="1" x14ac:dyDescent="0.25">
      <c r="A305" s="190"/>
      <c r="B305" s="163"/>
      <c r="C305" s="168"/>
      <c r="D305" s="163"/>
      <c r="E305" s="163"/>
      <c r="F305" s="26" t="s">
        <v>702</v>
      </c>
      <c r="G305" s="27">
        <f>SUM(G304)</f>
        <v>140</v>
      </c>
      <c r="H305" s="27">
        <f>SUM(H304)</f>
        <v>798</v>
      </c>
      <c r="I305" s="194">
        <f t="shared" si="39"/>
        <v>938</v>
      </c>
      <c r="J305" s="27">
        <f t="shared" ref="J305:U305" si="42">SUM(J304)</f>
        <v>140</v>
      </c>
      <c r="K305" s="27">
        <f t="shared" si="42"/>
        <v>0</v>
      </c>
      <c r="L305" s="27">
        <f t="shared" si="42"/>
        <v>0</v>
      </c>
      <c r="M305" s="27">
        <f t="shared" si="42"/>
        <v>0</v>
      </c>
      <c r="N305" s="27">
        <f t="shared" si="42"/>
        <v>0</v>
      </c>
      <c r="O305" s="27">
        <f t="shared" si="42"/>
        <v>0</v>
      </c>
      <c r="P305" s="27">
        <f t="shared" si="42"/>
        <v>0</v>
      </c>
      <c r="Q305" s="27">
        <f t="shared" si="42"/>
        <v>0</v>
      </c>
      <c r="R305" s="27">
        <f t="shared" si="42"/>
        <v>0</v>
      </c>
      <c r="S305" s="27">
        <f t="shared" si="42"/>
        <v>0</v>
      </c>
      <c r="T305" s="27">
        <f t="shared" si="42"/>
        <v>798</v>
      </c>
      <c r="U305" s="27">
        <f t="shared" si="42"/>
        <v>0</v>
      </c>
      <c r="V305" s="30"/>
      <c r="W305" s="30"/>
    </row>
    <row r="313" spans="1:23" x14ac:dyDescent="0.25">
      <c r="L313" s="44"/>
      <c r="M313" s="44"/>
      <c r="N313" s="44"/>
      <c r="O313" s="44"/>
      <c r="P313" s="44"/>
      <c r="Q313" s="44"/>
      <c r="R313" s="44"/>
      <c r="S313" s="44"/>
      <c r="T313" s="44"/>
      <c r="U313" s="44"/>
      <c r="V313" s="44"/>
      <c r="W313" s="44"/>
    </row>
  </sheetData>
  <mergeCells count="236">
    <mergeCell ref="A3:W3"/>
    <mergeCell ref="D42:D43"/>
    <mergeCell ref="E42:E43"/>
    <mergeCell ref="D39:D41"/>
    <mergeCell ref="E39:E41"/>
    <mergeCell ref="D36:D38"/>
    <mergeCell ref="E36:E38"/>
    <mergeCell ref="D51:D53"/>
    <mergeCell ref="D49:D50"/>
    <mergeCell ref="D14:D21"/>
    <mergeCell ref="E14:E21"/>
    <mergeCell ref="E49:E50"/>
    <mergeCell ref="E51:E53"/>
    <mergeCell ref="D44:D48"/>
    <mergeCell ref="E44:E48"/>
    <mergeCell ref="D12:D13"/>
    <mergeCell ref="D6:D11"/>
    <mergeCell ref="E12:E13"/>
    <mergeCell ref="E6:E11"/>
    <mergeCell ref="D29:D35"/>
    <mergeCell ref="E29:E35"/>
    <mergeCell ref="D25:D28"/>
    <mergeCell ref="E25:E28"/>
    <mergeCell ref="D22:D24"/>
    <mergeCell ref="E22:E24"/>
    <mergeCell ref="D76:D77"/>
    <mergeCell ref="E76:E77"/>
    <mergeCell ref="D74:D75"/>
    <mergeCell ref="E74:E75"/>
    <mergeCell ref="D54:D73"/>
    <mergeCell ref="E54:E73"/>
    <mergeCell ref="D82:D84"/>
    <mergeCell ref="E82:E84"/>
    <mergeCell ref="D80:D81"/>
    <mergeCell ref="E80:E81"/>
    <mergeCell ref="D78:D79"/>
    <mergeCell ref="E78:E79"/>
    <mergeCell ref="D97:D101"/>
    <mergeCell ref="E97:E101"/>
    <mergeCell ref="D93:D96"/>
    <mergeCell ref="E93:E96"/>
    <mergeCell ref="D85:D92"/>
    <mergeCell ref="E85:E92"/>
    <mergeCell ref="D113:D117"/>
    <mergeCell ref="E113:E117"/>
    <mergeCell ref="D110:D112"/>
    <mergeCell ref="E110:E112"/>
    <mergeCell ref="D102:D109"/>
    <mergeCell ref="E102:E109"/>
    <mergeCell ref="D124:D130"/>
    <mergeCell ref="E124:E130"/>
    <mergeCell ref="D122:D123"/>
    <mergeCell ref="E122:E123"/>
    <mergeCell ref="D120:D121"/>
    <mergeCell ref="D118:D119"/>
    <mergeCell ref="E120:E121"/>
    <mergeCell ref="E118:E119"/>
    <mergeCell ref="D168:D181"/>
    <mergeCell ref="D166:D167"/>
    <mergeCell ref="D135:D165"/>
    <mergeCell ref="D131:D134"/>
    <mergeCell ref="E135:E165"/>
    <mergeCell ref="E131:E134"/>
    <mergeCell ref="E166:E167"/>
    <mergeCell ref="E168:E181"/>
    <mergeCell ref="D232:D245"/>
    <mergeCell ref="E232:E245"/>
    <mergeCell ref="D189:D231"/>
    <mergeCell ref="D187:D188"/>
    <mergeCell ref="E187:E188"/>
    <mergeCell ref="D182:D186"/>
    <mergeCell ref="E182:E186"/>
    <mergeCell ref="E246:E261"/>
    <mergeCell ref="V246:V260"/>
    <mergeCell ref="V232:V244"/>
    <mergeCell ref="V189:V230"/>
    <mergeCell ref="E189:E231"/>
    <mergeCell ref="D304:D305"/>
    <mergeCell ref="D294:D303"/>
    <mergeCell ref="D262:D293"/>
    <mergeCell ref="D246:D261"/>
    <mergeCell ref="E304:E305"/>
    <mergeCell ref="E294:E303"/>
    <mergeCell ref="V294:V302"/>
    <mergeCell ref="E262:E293"/>
    <mergeCell ref="V262:V292"/>
    <mergeCell ref="A294:A303"/>
    <mergeCell ref="B294:B303"/>
    <mergeCell ref="C294:C303"/>
    <mergeCell ref="A304:A305"/>
    <mergeCell ref="B304:B305"/>
    <mergeCell ref="C304:C305"/>
    <mergeCell ref="A246:A261"/>
    <mergeCell ref="B246:B261"/>
    <mergeCell ref="C246:C261"/>
    <mergeCell ref="A262:A293"/>
    <mergeCell ref="B262:B293"/>
    <mergeCell ref="C262:C293"/>
    <mergeCell ref="A189:A231"/>
    <mergeCell ref="B189:B231"/>
    <mergeCell ref="C189:C231"/>
    <mergeCell ref="A232:A245"/>
    <mergeCell ref="B232:B245"/>
    <mergeCell ref="C232:C245"/>
    <mergeCell ref="A182:A186"/>
    <mergeCell ref="B182:B186"/>
    <mergeCell ref="C182:C186"/>
    <mergeCell ref="A187:A188"/>
    <mergeCell ref="B187:B188"/>
    <mergeCell ref="C187:C188"/>
    <mergeCell ref="A166:A167"/>
    <mergeCell ref="B166:B167"/>
    <mergeCell ref="C166:C167"/>
    <mergeCell ref="A168:A181"/>
    <mergeCell ref="B168:B181"/>
    <mergeCell ref="C168:C181"/>
    <mergeCell ref="A131:A134"/>
    <mergeCell ref="B131:B134"/>
    <mergeCell ref="C131:C134"/>
    <mergeCell ref="A135:A165"/>
    <mergeCell ref="B135:B165"/>
    <mergeCell ref="C135:C165"/>
    <mergeCell ref="A122:A123"/>
    <mergeCell ref="B122:B123"/>
    <mergeCell ref="C122:C123"/>
    <mergeCell ref="A124:A130"/>
    <mergeCell ref="B124:B130"/>
    <mergeCell ref="C124:C130"/>
    <mergeCell ref="A118:A119"/>
    <mergeCell ref="B118:B119"/>
    <mergeCell ref="C118:C119"/>
    <mergeCell ref="A120:A121"/>
    <mergeCell ref="B120:B121"/>
    <mergeCell ref="C120:C121"/>
    <mergeCell ref="A110:A112"/>
    <mergeCell ref="B110:B112"/>
    <mergeCell ref="C110:C112"/>
    <mergeCell ref="A113:A117"/>
    <mergeCell ref="B113:B117"/>
    <mergeCell ref="C113:C117"/>
    <mergeCell ref="A97:A101"/>
    <mergeCell ref="B97:B101"/>
    <mergeCell ref="C97:C101"/>
    <mergeCell ref="A102:A109"/>
    <mergeCell ref="B102:B109"/>
    <mergeCell ref="C102:C109"/>
    <mergeCell ref="A85:A92"/>
    <mergeCell ref="B85:B92"/>
    <mergeCell ref="C85:C92"/>
    <mergeCell ref="A93:A96"/>
    <mergeCell ref="B93:B96"/>
    <mergeCell ref="C93:C96"/>
    <mergeCell ref="A80:A81"/>
    <mergeCell ref="B80:B81"/>
    <mergeCell ref="C80:C81"/>
    <mergeCell ref="A82:A84"/>
    <mergeCell ref="B82:B84"/>
    <mergeCell ref="C82:C84"/>
    <mergeCell ref="A76:A77"/>
    <mergeCell ref="B76:B77"/>
    <mergeCell ref="C76:C77"/>
    <mergeCell ref="A78:A79"/>
    <mergeCell ref="B78:B79"/>
    <mergeCell ref="C78:C79"/>
    <mergeCell ref="A54:A73"/>
    <mergeCell ref="B54:B73"/>
    <mergeCell ref="C54:C73"/>
    <mergeCell ref="A74:A75"/>
    <mergeCell ref="B74:B75"/>
    <mergeCell ref="C74:C75"/>
    <mergeCell ref="A49:A50"/>
    <mergeCell ref="B49:B50"/>
    <mergeCell ref="C49:C50"/>
    <mergeCell ref="A51:A53"/>
    <mergeCell ref="B51:B53"/>
    <mergeCell ref="C51:C53"/>
    <mergeCell ref="A42:A43"/>
    <mergeCell ref="B42:B43"/>
    <mergeCell ref="C42:C43"/>
    <mergeCell ref="A44:A48"/>
    <mergeCell ref="B44:B48"/>
    <mergeCell ref="C44:C48"/>
    <mergeCell ref="A36:A38"/>
    <mergeCell ref="B36:B38"/>
    <mergeCell ref="C36:C38"/>
    <mergeCell ref="A39:A41"/>
    <mergeCell ref="B39:B41"/>
    <mergeCell ref="C39:C41"/>
    <mergeCell ref="A25:A28"/>
    <mergeCell ref="B25:B28"/>
    <mergeCell ref="C25:C28"/>
    <mergeCell ref="A29:A35"/>
    <mergeCell ref="B29:B35"/>
    <mergeCell ref="C29:C35"/>
    <mergeCell ref="A14:A21"/>
    <mergeCell ref="B14:B21"/>
    <mergeCell ref="C14:C21"/>
    <mergeCell ref="A22:A24"/>
    <mergeCell ref="B22:B24"/>
    <mergeCell ref="C22:C24"/>
    <mergeCell ref="A6:A11"/>
    <mergeCell ref="B6:B11"/>
    <mergeCell ref="C6:C11"/>
    <mergeCell ref="A12:A13"/>
    <mergeCell ref="B12:B13"/>
    <mergeCell ref="C12:C13"/>
    <mergeCell ref="V168:V180"/>
    <mergeCell ref="V182:V185"/>
    <mergeCell ref="V135:V164"/>
    <mergeCell ref="V124:V129"/>
    <mergeCell ref="V131:V133"/>
    <mergeCell ref="V113:V116"/>
    <mergeCell ref="V93:V95"/>
    <mergeCell ref="V97:V100"/>
    <mergeCell ref="V102:V108"/>
    <mergeCell ref="V110:V111"/>
    <mergeCell ref="V14:V20"/>
    <mergeCell ref="V6:V10"/>
    <mergeCell ref="V85:V91"/>
    <mergeCell ref="V82:V83"/>
    <mergeCell ref="V54:V72"/>
    <mergeCell ref="V51:V52"/>
    <mergeCell ref="V44:V47"/>
    <mergeCell ref="V39:V40"/>
    <mergeCell ref="V36:V37"/>
    <mergeCell ref="V29:V34"/>
    <mergeCell ref="V25:V27"/>
    <mergeCell ref="W25:W27"/>
    <mergeCell ref="W36:W37"/>
    <mergeCell ref="W22:W23"/>
    <mergeCell ref="W51:W52"/>
    <mergeCell ref="W85:W91"/>
    <mergeCell ref="W93:W94"/>
    <mergeCell ref="W97:W100"/>
    <mergeCell ref="W110:W111"/>
    <mergeCell ref="V22:V23"/>
  </mergeCells>
  <phoneticPr fontId="4" type="noConversion"/>
  <hyperlinks>
    <hyperlink ref="E304" r:id="rId1" xr:uid="{BACA9692-8223-4A34-BCEA-B56CA1FEB4CD}"/>
    <hyperlink ref="E294" r:id="rId2" xr:uid="{2D62F317-4C8A-4939-9FA9-4438E91274DE}"/>
    <hyperlink ref="E262" r:id="rId3" xr:uid="{7B4BAE26-355E-4433-9775-B16E3F723F63}"/>
    <hyperlink ref="E246" r:id="rId4" xr:uid="{E1B9945F-3E45-4280-B2AD-ED26E260B1E7}"/>
    <hyperlink ref="E51" r:id="rId5" xr:uid="{088642AF-7689-4FA2-B4A2-57BAF1260F9D}"/>
    <hyperlink ref="E49" r:id="rId6" xr:uid="{AE9FB250-EBCD-4020-AC31-F2E3256C36E2}"/>
    <hyperlink ref="E44" r:id="rId7" xr:uid="{EF84059A-071E-4068-BE23-559656F79481}"/>
    <hyperlink ref="E42" r:id="rId8" xr:uid="{F384CE7E-4F15-4757-9A16-54D6CAC3C746}"/>
    <hyperlink ref="E39" r:id="rId9" xr:uid="{CE187D51-5679-44ED-8FE0-14991503EDEA}"/>
    <hyperlink ref="E36" r:id="rId10" xr:uid="{61C705DA-0B39-4683-A982-FC8A659268A7}"/>
    <hyperlink ref="E29" r:id="rId11" xr:uid="{1650A19C-7390-4C70-A9FB-C79ACEDCB1BA}"/>
    <hyperlink ref="E25" r:id="rId12" xr:uid="{74195840-A302-4BFB-ADBF-3BF129408AF4}"/>
    <hyperlink ref="E22" r:id="rId13" xr:uid="{2354739D-FBDA-41EC-82C2-6A826F2A8F37}"/>
    <hyperlink ref="E14" r:id="rId14" xr:uid="{42247E18-ACE2-4043-93A2-37FA07ACA70E}"/>
    <hyperlink ref="E12" r:id="rId15" xr:uid="{0FEEB632-9DAF-48E3-9978-2BF2432F5287}"/>
    <hyperlink ref="E6" r:id="rId16" xr:uid="{B91235D0-13ED-4E85-8D91-AA64B1BFB58C}"/>
    <hyperlink ref="E187" r:id="rId17" xr:uid="{9C7E2221-CD9A-43C1-891A-8BEBBE985D9D}"/>
    <hyperlink ref="E182" r:id="rId18" xr:uid="{C681F9EB-1267-4042-ADCE-FB8DAA8C3807}"/>
    <hyperlink ref="E232" r:id="rId19" xr:uid="{BB1A2E24-E1BE-4CE2-B7D0-9881F825C9BE}"/>
    <hyperlink ref="E74" r:id="rId20" xr:uid="{0DD9D38E-B9FD-452D-90B6-854F2B64C028}"/>
    <hyperlink ref="E76" r:id="rId21" xr:uid="{599F9FE1-F9C0-4C0F-BBFC-050DA7AEB48F}"/>
    <hyperlink ref="E78" r:id="rId22" xr:uid="{525A3417-2D77-423A-A7AA-9C1054B698D8}"/>
    <hyperlink ref="E54" r:id="rId23" xr:uid="{13B1E965-438F-4396-8F93-E27F5DF93EFB}"/>
    <hyperlink ref="E80" r:id="rId24" xr:uid="{03C7E793-0640-40C6-82E6-DEFD951648E8}"/>
    <hyperlink ref="E82" r:id="rId25" xr:uid="{EA15D775-EDBB-4773-BD7C-98D9E60BEE8A}"/>
    <hyperlink ref="E85" r:id="rId26" xr:uid="{F1DD6401-C5AE-4416-B362-3AFA65A2862C}"/>
    <hyperlink ref="E93" r:id="rId27" xr:uid="{CC2FCEB8-5D3F-4AC6-82E2-4BC0231406A5}"/>
    <hyperlink ref="E97" r:id="rId28" xr:uid="{273F2612-72B9-4790-9382-DA00EFD99BDF}"/>
    <hyperlink ref="E102" r:id="rId29" xr:uid="{DD076FBB-0B5F-497D-829A-660CE3458786}"/>
    <hyperlink ref="E110" r:id="rId30" xr:uid="{4C83B340-BEA6-429E-8BE8-D0617F41C482}"/>
    <hyperlink ref="E113" r:id="rId31" xr:uid="{649BCAA9-CF84-49A3-9CE6-413C7E1D067C}"/>
    <hyperlink ref="E118" r:id="rId32" xr:uid="{5A81EA61-D617-477D-8CE1-1DA16881F352}"/>
    <hyperlink ref="E120" r:id="rId33" xr:uid="{50124C05-EA5A-4B90-BC95-458E566E7E70}"/>
    <hyperlink ref="E122" r:id="rId34" xr:uid="{082EBD82-8DB7-4C6F-BF62-ABB187BC00F5}"/>
    <hyperlink ref="E124" r:id="rId35" xr:uid="{DE893935-5AA4-4854-AD7F-F1AEE19520B9}"/>
    <hyperlink ref="E131" r:id="rId36" xr:uid="{B0640545-0DAF-4943-B089-4990F25AC4C9}"/>
    <hyperlink ref="E135" r:id="rId37" xr:uid="{BFFFE971-5E41-4352-9335-516A5385DB2A}"/>
    <hyperlink ref="E166" r:id="rId38" xr:uid="{4A2DE8CE-7797-46FB-946E-B7BAB0624DFB}"/>
    <hyperlink ref="E168" r:id="rId39" xr:uid="{03BAE995-67B8-44BB-8C48-BFB8FF8B2A4D}"/>
    <hyperlink ref="E189" r:id="rId40" xr:uid="{6C2FCE2C-8E15-4E7D-8BF7-1B81F071781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F4D4-5FB4-4C5A-A5EF-EF4C1468A937}">
  <dimension ref="A2:BE130"/>
  <sheetViews>
    <sheetView zoomScale="90" zoomScaleNormal="90" workbookViewId="0">
      <selection activeCell="G14" sqref="G14"/>
    </sheetView>
  </sheetViews>
  <sheetFormatPr defaultRowHeight="15" x14ac:dyDescent="0.25"/>
  <cols>
    <col min="1" max="1" width="32.5703125" customWidth="1"/>
    <col min="2" max="2" width="25.140625" customWidth="1"/>
    <col min="3" max="3" width="22" style="14" bestFit="1" customWidth="1"/>
    <col min="4" max="4" width="16.7109375" bestFit="1" customWidth="1"/>
    <col min="5" max="5" width="31.140625" bestFit="1" customWidth="1"/>
    <col min="6" max="6" width="30.7109375" bestFit="1" customWidth="1"/>
    <col min="7" max="7" width="34.5703125" bestFit="1" customWidth="1"/>
    <col min="8" max="8" width="22.140625" customWidth="1"/>
    <col min="9" max="9" width="25.5703125" customWidth="1"/>
    <col min="10" max="10" width="19" bestFit="1" customWidth="1"/>
    <col min="11" max="11" width="23" bestFit="1" customWidth="1"/>
    <col min="12" max="12" width="19.28515625" bestFit="1" customWidth="1"/>
    <col min="13" max="14" width="20.140625" bestFit="1" customWidth="1"/>
    <col min="15" max="15" width="22.5703125" bestFit="1" customWidth="1"/>
    <col min="16" max="16" width="20.140625" bestFit="1" customWidth="1"/>
    <col min="17" max="17" width="28.5703125" customWidth="1"/>
    <col min="18" max="18" width="31" customWidth="1"/>
    <col min="19" max="19" width="22.85546875" bestFit="1" customWidth="1"/>
    <col min="20" max="20" width="25.5703125" bestFit="1" customWidth="1"/>
    <col min="21" max="21" width="26.140625" bestFit="1" customWidth="1"/>
    <col min="22" max="22" width="28.85546875" bestFit="1" customWidth="1"/>
    <col min="23" max="23" width="23" bestFit="1" customWidth="1"/>
    <col min="24" max="24" width="29.140625" bestFit="1" customWidth="1"/>
    <col min="25" max="25" width="23.7109375" bestFit="1" customWidth="1"/>
    <col min="26" max="26" width="21.140625" bestFit="1" customWidth="1"/>
    <col min="27" max="27" width="22.140625" bestFit="1" customWidth="1"/>
    <col min="28" max="28" width="44.85546875" bestFit="1" customWidth="1"/>
    <col min="29" max="29" width="15" bestFit="1" customWidth="1"/>
    <col min="30" max="30" width="39.42578125" bestFit="1" customWidth="1"/>
    <col min="31" max="31" width="19" bestFit="1" customWidth="1"/>
    <col min="32" max="32" width="53.85546875" bestFit="1" customWidth="1"/>
    <col min="33" max="33" width="15.7109375" bestFit="1" customWidth="1"/>
    <col min="34" max="34" width="11.85546875" bestFit="1" customWidth="1"/>
    <col min="35" max="35" width="22.42578125" bestFit="1" customWidth="1"/>
    <col min="36" max="36" width="30" bestFit="1" customWidth="1"/>
    <col min="37" max="37" width="34.85546875" bestFit="1" customWidth="1"/>
    <col min="38" max="38" width="12.5703125" style="5" bestFit="1" customWidth="1"/>
    <col min="39" max="39" width="22.42578125" style="5" bestFit="1" customWidth="1"/>
    <col min="40" max="40" width="43.85546875" customWidth="1"/>
    <col min="41" max="41" width="67.140625" customWidth="1"/>
    <col min="42" max="42" width="42" bestFit="1" customWidth="1"/>
    <col min="43" max="43" width="32.7109375" style="5" bestFit="1" customWidth="1"/>
    <col min="44" max="44" width="21.42578125" style="5" bestFit="1" customWidth="1"/>
    <col min="45" max="50" width="11.42578125" style="5" bestFit="1" customWidth="1"/>
    <col min="51" max="51" width="13.140625" style="5" bestFit="1" customWidth="1"/>
    <col min="52" max="52" width="33.140625" style="5" bestFit="1" customWidth="1"/>
    <col min="53" max="53" width="25.5703125" style="5" bestFit="1" customWidth="1"/>
    <col min="54" max="54" width="23.28515625" style="5" bestFit="1" customWidth="1"/>
    <col min="55" max="55" width="32.42578125" style="5" bestFit="1" customWidth="1"/>
    <col min="56" max="56" width="59.85546875" customWidth="1"/>
    <col min="57" max="57" width="55" customWidth="1"/>
  </cols>
  <sheetData>
    <row r="2" spans="1:57" x14ac:dyDescent="0.25">
      <c r="A2" s="41" t="s">
        <v>1071</v>
      </c>
      <c r="C2"/>
      <c r="J2" s="5"/>
      <c r="K2" s="9"/>
      <c r="AI2" s="5"/>
      <c r="AJ2" s="5"/>
      <c r="AK2" s="5"/>
      <c r="AL2"/>
      <c r="AM2"/>
      <c r="AP2" s="5"/>
      <c r="BA2"/>
      <c r="BB2"/>
      <c r="BC2"/>
    </row>
    <row r="3" spans="1:57" x14ac:dyDescent="0.25">
      <c r="A3" s="169" t="s">
        <v>1070</v>
      </c>
      <c r="B3" s="169"/>
      <c r="C3" s="169"/>
      <c r="D3" s="169"/>
      <c r="E3" s="169"/>
      <c r="F3" s="169"/>
      <c r="G3" s="169"/>
      <c r="H3" s="169"/>
      <c r="I3" s="169"/>
      <c r="J3" s="169"/>
      <c r="K3" s="169"/>
      <c r="L3" s="169"/>
      <c r="M3" s="169"/>
      <c r="N3" s="169"/>
      <c r="O3" s="169"/>
      <c r="P3" s="169"/>
      <c r="Q3" s="169"/>
      <c r="R3" s="169"/>
      <c r="S3" s="169"/>
      <c r="T3" s="169"/>
      <c r="U3" s="169"/>
      <c r="V3" s="169"/>
      <c r="W3" s="169"/>
    </row>
    <row r="4" spans="1:57" x14ac:dyDescent="0.25">
      <c r="H4" s="203"/>
      <c r="I4" s="203"/>
      <c r="J4" s="203"/>
      <c r="K4" s="203"/>
      <c r="L4" s="203"/>
      <c r="M4" s="203"/>
      <c r="N4" s="203"/>
      <c r="O4" s="203"/>
      <c r="P4" s="203"/>
      <c r="Q4" s="203"/>
      <c r="R4" s="203"/>
      <c r="S4" s="203"/>
      <c r="T4" s="203"/>
      <c r="U4" s="203"/>
      <c r="V4" s="203"/>
      <c r="W4" s="203"/>
      <c r="X4" s="203"/>
      <c r="Y4" s="204"/>
      <c r="AA4" s="205"/>
      <c r="AB4" s="205"/>
      <c r="AC4" s="205"/>
      <c r="AD4" s="205"/>
      <c r="AE4" s="205"/>
      <c r="AF4" s="205"/>
      <c r="AG4" s="205"/>
      <c r="AH4" s="205"/>
      <c r="AI4" s="205"/>
      <c r="AJ4" s="205"/>
      <c r="AK4" s="205"/>
      <c r="AL4" s="205"/>
      <c r="AM4" s="205"/>
      <c r="AP4" s="206"/>
      <c r="AQ4" s="206"/>
      <c r="AR4" s="202"/>
      <c r="AS4" s="202"/>
      <c r="AT4" s="202"/>
      <c r="AU4" s="202"/>
      <c r="AV4" s="202"/>
      <c r="AW4" s="202"/>
      <c r="AX4" s="202"/>
      <c r="AY4" s="202"/>
      <c r="AZ4" s="202"/>
      <c r="BA4" s="202"/>
      <c r="BB4" s="202"/>
      <c r="BC4" s="202"/>
      <c r="BD4" s="238"/>
    </row>
    <row r="5" spans="1:57" s="18" customFormat="1" x14ac:dyDescent="0.25">
      <c r="A5" s="236" t="s">
        <v>181</v>
      </c>
      <c r="B5" s="280"/>
      <c r="C5" s="280"/>
      <c r="D5" s="282"/>
      <c r="E5" s="144" t="s">
        <v>1045</v>
      </c>
      <c r="F5" s="208"/>
      <c r="G5" s="208"/>
      <c r="H5" s="145" t="s">
        <v>190</v>
      </c>
      <c r="I5" s="146"/>
      <c r="J5" s="146"/>
      <c r="K5" s="146"/>
      <c r="L5" s="146"/>
      <c r="M5" s="146"/>
      <c r="N5" s="146"/>
      <c r="O5" s="146"/>
      <c r="P5" s="146"/>
      <c r="Q5" s="146"/>
      <c r="R5" s="146"/>
      <c r="S5" s="146"/>
      <c r="T5" s="146"/>
      <c r="U5" s="146"/>
      <c r="V5" s="146"/>
      <c r="W5" s="146"/>
      <c r="X5" s="147"/>
      <c r="Y5" s="209" t="s">
        <v>189</v>
      </c>
      <c r="Z5" s="209"/>
      <c r="AA5" s="209"/>
      <c r="AB5" s="210" t="s">
        <v>188</v>
      </c>
      <c r="AC5" s="210"/>
      <c r="AD5" s="210"/>
      <c r="AE5" s="210"/>
      <c r="AF5" s="210"/>
      <c r="AG5" s="210"/>
      <c r="AH5" s="210"/>
      <c r="AI5" s="210"/>
      <c r="AJ5" s="211" t="s">
        <v>191</v>
      </c>
      <c r="AK5" s="211"/>
      <c r="AL5" s="211"/>
      <c r="AM5" s="211"/>
      <c r="AN5" s="290" t="s">
        <v>180</v>
      </c>
      <c r="AO5" s="291"/>
      <c r="AP5" s="268" t="s">
        <v>1048</v>
      </c>
      <c r="AQ5" s="267"/>
      <c r="AR5" s="133" t="s">
        <v>6</v>
      </c>
      <c r="AS5" s="133"/>
      <c r="AT5" s="133"/>
      <c r="AU5" s="133"/>
      <c r="AV5" s="133"/>
      <c r="AW5" s="133"/>
      <c r="AX5" s="133"/>
      <c r="AY5" s="133"/>
      <c r="AZ5" s="133"/>
      <c r="BA5" s="133"/>
      <c r="BB5" s="133"/>
      <c r="BC5" s="145"/>
      <c r="BD5" s="212" t="s">
        <v>1061</v>
      </c>
      <c r="BE5" s="175"/>
    </row>
    <row r="6" spans="1:57" s="7" customFormat="1" ht="26.45" customHeight="1" x14ac:dyDescent="0.25">
      <c r="A6" s="110" t="s">
        <v>0</v>
      </c>
      <c r="B6" s="283" t="s">
        <v>1</v>
      </c>
      <c r="C6" s="175" t="s">
        <v>860</v>
      </c>
      <c r="D6" s="111" t="s">
        <v>1064</v>
      </c>
      <c r="E6" s="175" t="s">
        <v>929</v>
      </c>
      <c r="F6" s="175" t="s">
        <v>930</v>
      </c>
      <c r="G6" s="64" t="s">
        <v>931</v>
      </c>
      <c r="H6" s="62" t="s">
        <v>357</v>
      </c>
      <c r="I6" s="175" t="s">
        <v>358</v>
      </c>
      <c r="J6" s="175" t="s">
        <v>382</v>
      </c>
      <c r="K6" s="175" t="s">
        <v>383</v>
      </c>
      <c r="L6" s="175" t="s">
        <v>557</v>
      </c>
      <c r="M6" s="175" t="s">
        <v>614</v>
      </c>
      <c r="N6" s="175" t="s">
        <v>391</v>
      </c>
      <c r="O6" s="175" t="s">
        <v>421</v>
      </c>
      <c r="P6" s="175" t="s">
        <v>403</v>
      </c>
      <c r="Q6" s="207" t="s">
        <v>429</v>
      </c>
      <c r="R6" s="207" t="s">
        <v>430</v>
      </c>
      <c r="S6" s="175" t="s">
        <v>446</v>
      </c>
      <c r="T6" s="175" t="s">
        <v>445</v>
      </c>
      <c r="U6" s="175" t="s">
        <v>475</v>
      </c>
      <c r="V6" s="175" t="s">
        <v>476</v>
      </c>
      <c r="W6" s="175" t="s">
        <v>384</v>
      </c>
      <c r="X6" s="64" t="s">
        <v>1063</v>
      </c>
      <c r="Y6" s="62" t="s">
        <v>5</v>
      </c>
      <c r="Z6" s="175" t="s">
        <v>4</v>
      </c>
      <c r="AA6" s="64" t="s">
        <v>547</v>
      </c>
      <c r="AB6" s="62" t="s">
        <v>183</v>
      </c>
      <c r="AC6" s="175" t="s">
        <v>184</v>
      </c>
      <c r="AD6" s="175" t="s">
        <v>185</v>
      </c>
      <c r="AE6" s="175" t="s">
        <v>186</v>
      </c>
      <c r="AF6" s="207" t="s">
        <v>187</v>
      </c>
      <c r="AG6" s="175" t="s">
        <v>359</v>
      </c>
      <c r="AH6" s="175" t="s">
        <v>20</v>
      </c>
      <c r="AI6" s="64" t="s">
        <v>1037</v>
      </c>
      <c r="AJ6" s="62" t="s">
        <v>192</v>
      </c>
      <c r="AK6" s="175" t="s">
        <v>193</v>
      </c>
      <c r="AL6" s="175" t="s">
        <v>194</v>
      </c>
      <c r="AM6" s="175" t="s">
        <v>1038</v>
      </c>
      <c r="AN6" s="71" t="s">
        <v>1065</v>
      </c>
      <c r="AO6" s="281" t="s">
        <v>385</v>
      </c>
      <c r="AP6" s="175" t="s">
        <v>962</v>
      </c>
      <c r="AQ6" s="64" t="s">
        <v>406</v>
      </c>
      <c r="AR6" s="62" t="s">
        <v>12</v>
      </c>
      <c r="AS6" s="175" t="s">
        <v>195</v>
      </c>
      <c r="AT6" s="175" t="s">
        <v>196</v>
      </c>
      <c r="AU6" s="175" t="s">
        <v>197</v>
      </c>
      <c r="AV6" s="175" t="s">
        <v>254</v>
      </c>
      <c r="AW6" s="175" t="s">
        <v>255</v>
      </c>
      <c r="AX6" s="175" t="s">
        <v>256</v>
      </c>
      <c r="AY6" s="175" t="s">
        <v>360</v>
      </c>
      <c r="AZ6" s="175" t="s">
        <v>1039</v>
      </c>
      <c r="BA6" s="175" t="s">
        <v>553</v>
      </c>
      <c r="BB6" s="175" t="s">
        <v>552</v>
      </c>
      <c r="BC6" s="175" t="s">
        <v>1060</v>
      </c>
      <c r="BD6" s="67" t="s">
        <v>1050</v>
      </c>
      <c r="BE6" s="67" t="s">
        <v>7</v>
      </c>
    </row>
    <row r="7" spans="1:57" x14ac:dyDescent="0.25">
      <c r="A7" s="213" t="s">
        <v>8</v>
      </c>
      <c r="B7" s="214" t="s">
        <v>34</v>
      </c>
      <c r="C7" s="215" t="s">
        <v>16</v>
      </c>
      <c r="D7" s="225" t="s">
        <v>16</v>
      </c>
      <c r="E7" s="219" t="s">
        <v>16</v>
      </c>
      <c r="F7" s="219" t="s">
        <v>16</v>
      </c>
      <c r="G7" s="225" t="s">
        <v>16</v>
      </c>
      <c r="H7" s="240" t="s">
        <v>16</v>
      </c>
      <c r="I7" s="219" t="s">
        <v>16</v>
      </c>
      <c r="J7" s="219" t="s">
        <v>16</v>
      </c>
      <c r="K7" s="219" t="s">
        <v>16</v>
      </c>
      <c r="L7" s="219" t="s">
        <v>16</v>
      </c>
      <c r="M7" s="219" t="s">
        <v>16</v>
      </c>
      <c r="N7" s="219" t="s">
        <v>16</v>
      </c>
      <c r="O7" s="219" t="s">
        <v>16</v>
      </c>
      <c r="P7" s="219" t="s">
        <v>16</v>
      </c>
      <c r="Q7" s="219" t="s">
        <v>16</v>
      </c>
      <c r="R7" s="219" t="s">
        <v>16</v>
      </c>
      <c r="S7" s="219" t="s">
        <v>16</v>
      </c>
      <c r="T7" s="219" t="s">
        <v>16</v>
      </c>
      <c r="U7" s="219" t="s">
        <v>16</v>
      </c>
      <c r="V7" s="219" t="s">
        <v>16</v>
      </c>
      <c r="W7" s="219" t="s">
        <v>16</v>
      </c>
      <c r="X7" s="225" t="s">
        <v>16</v>
      </c>
      <c r="Y7" s="240" t="s">
        <v>16</v>
      </c>
      <c r="Z7" s="219" t="s">
        <v>16</v>
      </c>
      <c r="AA7" s="225" t="s">
        <v>16</v>
      </c>
      <c r="AB7" s="240" t="s">
        <v>16</v>
      </c>
      <c r="AC7" s="219" t="s">
        <v>16</v>
      </c>
      <c r="AD7" s="219" t="s">
        <v>16</v>
      </c>
      <c r="AE7" s="219" t="s">
        <v>16</v>
      </c>
      <c r="AF7" s="219" t="s">
        <v>16</v>
      </c>
      <c r="AG7" s="219" t="s">
        <v>16</v>
      </c>
      <c r="AH7" s="219" t="s">
        <v>16</v>
      </c>
      <c r="AI7" s="225" t="s">
        <v>16</v>
      </c>
      <c r="AJ7" s="240" t="s">
        <v>16</v>
      </c>
      <c r="AK7" s="219" t="s">
        <v>16</v>
      </c>
      <c r="AL7" s="219" t="s">
        <v>16</v>
      </c>
      <c r="AM7" s="219" t="s">
        <v>16</v>
      </c>
      <c r="AN7" s="240" t="s">
        <v>16</v>
      </c>
      <c r="AO7" s="216" t="s">
        <v>16</v>
      </c>
      <c r="AP7" s="219" t="s">
        <v>16</v>
      </c>
      <c r="AQ7" s="225" t="s">
        <v>16</v>
      </c>
      <c r="AR7" s="240" t="s">
        <v>16</v>
      </c>
      <c r="AS7" s="219" t="s">
        <v>16</v>
      </c>
      <c r="AT7" s="219" t="s">
        <v>16</v>
      </c>
      <c r="AU7" s="219" t="s">
        <v>16</v>
      </c>
      <c r="AV7" s="219" t="s">
        <v>16</v>
      </c>
      <c r="AW7" s="219" t="s">
        <v>16</v>
      </c>
      <c r="AX7" s="219" t="s">
        <v>16</v>
      </c>
      <c r="AY7" s="219" t="s">
        <v>16</v>
      </c>
      <c r="AZ7" s="219" t="s">
        <v>16</v>
      </c>
      <c r="BA7" s="219" t="s">
        <v>16</v>
      </c>
      <c r="BB7" s="219" t="s">
        <v>16</v>
      </c>
      <c r="BC7" s="219" t="s">
        <v>16</v>
      </c>
      <c r="BD7" s="274" t="s">
        <v>16</v>
      </c>
      <c r="BE7" s="275" t="s">
        <v>549</v>
      </c>
    </row>
    <row r="8" spans="1:57" x14ac:dyDescent="0.25">
      <c r="A8" s="217" t="s">
        <v>9</v>
      </c>
      <c r="B8" s="218" t="s">
        <v>10</v>
      </c>
      <c r="C8" s="219" t="s">
        <v>16</v>
      </c>
      <c r="D8" s="225" t="s">
        <v>16</v>
      </c>
      <c r="E8" s="237">
        <f>SUM(Tabela1[[#This Row],[AD Case]:[AD Other]])</f>
        <v>1762</v>
      </c>
      <c r="F8" s="237">
        <v>1628</v>
      </c>
      <c r="G8" s="220">
        <v>1577</v>
      </c>
      <c r="H8" s="244">
        <v>875</v>
      </c>
      <c r="I8" s="227">
        <v>850</v>
      </c>
      <c r="J8" s="227">
        <v>37</v>
      </c>
      <c r="K8" s="227" t="s">
        <v>16</v>
      </c>
      <c r="L8" s="227" t="s">
        <v>16</v>
      </c>
      <c r="M8" s="174" t="s">
        <v>16</v>
      </c>
      <c r="N8" s="227" t="s">
        <v>16</v>
      </c>
      <c r="O8" s="227" t="s">
        <v>16</v>
      </c>
      <c r="P8" s="227" t="s">
        <v>16</v>
      </c>
      <c r="Q8" s="227" t="s">
        <v>16</v>
      </c>
      <c r="R8" s="227" t="s">
        <v>16</v>
      </c>
      <c r="S8" s="227" t="s">
        <v>16</v>
      </c>
      <c r="T8" s="227" t="s">
        <v>16</v>
      </c>
      <c r="U8" s="227" t="s">
        <v>16</v>
      </c>
      <c r="V8" s="227" t="s">
        <v>16</v>
      </c>
      <c r="W8" s="227" t="s">
        <v>16</v>
      </c>
      <c r="X8" s="247">
        <f>SUM(Tabela1[[#This Row],[AD Case]:[AD Other]])</f>
        <v>1762</v>
      </c>
      <c r="Y8" s="244">
        <v>969</v>
      </c>
      <c r="Z8" s="227">
        <v>619</v>
      </c>
      <c r="AA8" s="247">
        <f>619+969</f>
        <v>1588</v>
      </c>
      <c r="AB8" s="73" t="s">
        <v>16</v>
      </c>
      <c r="AC8" s="174" t="s">
        <v>16</v>
      </c>
      <c r="AD8" s="174" t="s">
        <v>16</v>
      </c>
      <c r="AE8" s="174" t="s">
        <v>16</v>
      </c>
      <c r="AF8" s="174" t="s">
        <v>16</v>
      </c>
      <c r="AG8" s="174" t="s">
        <v>16</v>
      </c>
      <c r="AH8" s="174" t="s">
        <v>16</v>
      </c>
      <c r="AI8" s="56" t="s">
        <v>16</v>
      </c>
      <c r="AJ8" s="73" t="s">
        <v>16</v>
      </c>
      <c r="AK8" s="174" t="s">
        <v>16</v>
      </c>
      <c r="AL8" s="174" t="s">
        <v>16</v>
      </c>
      <c r="AM8" s="174" t="s">
        <v>16</v>
      </c>
      <c r="AN8" s="73" t="s">
        <v>11</v>
      </c>
      <c r="AO8" s="220" t="s">
        <v>545</v>
      </c>
      <c r="AP8" s="271" t="s">
        <v>546</v>
      </c>
      <c r="AQ8" s="247" t="s">
        <v>16</v>
      </c>
      <c r="AR8" s="73" t="s">
        <v>182</v>
      </c>
      <c r="AS8" s="174" t="s">
        <v>20</v>
      </c>
      <c r="AT8" s="174" t="s">
        <v>20</v>
      </c>
      <c r="AU8" s="174" t="s">
        <v>20</v>
      </c>
      <c r="AV8" s="174" t="s">
        <v>20</v>
      </c>
      <c r="AW8" s="174" t="s">
        <v>20</v>
      </c>
      <c r="AX8" s="174" t="s">
        <v>20</v>
      </c>
      <c r="AY8" s="174" t="s">
        <v>20</v>
      </c>
      <c r="AZ8" s="174" t="s">
        <v>20</v>
      </c>
      <c r="BA8" s="250" t="s">
        <v>16</v>
      </c>
      <c r="BB8" s="250" t="s">
        <v>16</v>
      </c>
      <c r="BC8" s="174" t="s">
        <v>16</v>
      </c>
      <c r="BD8" s="275" t="s">
        <v>13</v>
      </c>
      <c r="BE8" s="275"/>
    </row>
    <row r="9" spans="1:57" x14ac:dyDescent="0.25">
      <c r="A9" s="217" t="s">
        <v>14</v>
      </c>
      <c r="B9" s="218" t="s">
        <v>15</v>
      </c>
      <c r="C9" s="219" t="s">
        <v>16</v>
      </c>
      <c r="D9" s="225" t="s">
        <v>182</v>
      </c>
      <c r="E9" s="174" t="s">
        <v>16</v>
      </c>
      <c r="F9" s="174" t="s">
        <v>16</v>
      </c>
      <c r="G9" s="56" t="s">
        <v>16</v>
      </c>
      <c r="H9" s="73" t="s">
        <v>16</v>
      </c>
      <c r="I9" s="174" t="s">
        <v>16</v>
      </c>
      <c r="J9" s="174" t="s">
        <v>16</v>
      </c>
      <c r="K9" s="174" t="s">
        <v>16</v>
      </c>
      <c r="L9" s="174" t="s">
        <v>16</v>
      </c>
      <c r="M9" s="174" t="s">
        <v>16</v>
      </c>
      <c r="N9" s="174" t="s">
        <v>16</v>
      </c>
      <c r="O9" s="174" t="s">
        <v>16</v>
      </c>
      <c r="P9" s="174" t="s">
        <v>16</v>
      </c>
      <c r="Q9" s="174" t="s">
        <v>16</v>
      </c>
      <c r="R9" s="174" t="s">
        <v>16</v>
      </c>
      <c r="S9" s="174" t="s">
        <v>16</v>
      </c>
      <c r="T9" s="174" t="s">
        <v>16</v>
      </c>
      <c r="U9" s="174" t="s">
        <v>16</v>
      </c>
      <c r="V9" s="174" t="s">
        <v>16</v>
      </c>
      <c r="W9" s="174" t="s">
        <v>16</v>
      </c>
      <c r="X9" s="56" t="s">
        <v>16</v>
      </c>
      <c r="Y9" s="73" t="s">
        <v>16</v>
      </c>
      <c r="Z9" s="174" t="s">
        <v>16</v>
      </c>
      <c r="AA9" s="56" t="s">
        <v>16</v>
      </c>
      <c r="AB9" s="73" t="s">
        <v>16</v>
      </c>
      <c r="AC9" s="174" t="s">
        <v>16</v>
      </c>
      <c r="AD9" s="174" t="s">
        <v>16</v>
      </c>
      <c r="AE9" s="174" t="s">
        <v>16</v>
      </c>
      <c r="AF9" s="174" t="s">
        <v>16</v>
      </c>
      <c r="AG9" s="174" t="s">
        <v>16</v>
      </c>
      <c r="AH9" s="174" t="s">
        <v>16</v>
      </c>
      <c r="AI9" s="56" t="s">
        <v>16</v>
      </c>
      <c r="AJ9" s="73" t="s">
        <v>16</v>
      </c>
      <c r="AK9" s="174" t="s">
        <v>16</v>
      </c>
      <c r="AL9" s="174" t="s">
        <v>16</v>
      </c>
      <c r="AM9" s="174" t="s">
        <v>16</v>
      </c>
      <c r="AN9" s="73" t="s">
        <v>16</v>
      </c>
      <c r="AO9" s="56" t="s">
        <v>16</v>
      </c>
      <c r="AP9" s="239" t="s">
        <v>16</v>
      </c>
      <c r="AQ9" s="56" t="s">
        <v>16</v>
      </c>
      <c r="AR9" s="73" t="s">
        <v>16</v>
      </c>
      <c r="AS9" s="174" t="s">
        <v>16</v>
      </c>
      <c r="AT9" s="174" t="s">
        <v>16</v>
      </c>
      <c r="AU9" s="174" t="s">
        <v>16</v>
      </c>
      <c r="AV9" s="174" t="s">
        <v>16</v>
      </c>
      <c r="AW9" s="174" t="s">
        <v>16</v>
      </c>
      <c r="AX9" s="174" t="s">
        <v>16</v>
      </c>
      <c r="AY9" s="174" t="s">
        <v>16</v>
      </c>
      <c r="AZ9" s="174" t="s">
        <v>16</v>
      </c>
      <c r="BA9" s="250" t="s">
        <v>16</v>
      </c>
      <c r="BB9" s="250" t="s">
        <v>16</v>
      </c>
      <c r="BC9" s="174" t="s">
        <v>16</v>
      </c>
      <c r="BD9" s="70" t="s">
        <v>16</v>
      </c>
      <c r="BE9" s="275" t="s">
        <v>548</v>
      </c>
    </row>
    <row r="10" spans="1:57" x14ac:dyDescent="0.25">
      <c r="A10" s="217" t="s">
        <v>17</v>
      </c>
      <c r="B10" s="218" t="s">
        <v>18</v>
      </c>
      <c r="C10" s="219" t="s">
        <v>16</v>
      </c>
      <c r="D10" s="225" t="s">
        <v>182</v>
      </c>
      <c r="E10" s="174" t="s">
        <v>16</v>
      </c>
      <c r="F10" s="174" t="s">
        <v>16</v>
      </c>
      <c r="G10" s="56" t="s">
        <v>16</v>
      </c>
      <c r="H10" s="73" t="s">
        <v>16</v>
      </c>
      <c r="I10" s="174" t="s">
        <v>16</v>
      </c>
      <c r="J10" s="174" t="s">
        <v>16</v>
      </c>
      <c r="K10" s="174" t="s">
        <v>16</v>
      </c>
      <c r="L10" s="174" t="s">
        <v>16</v>
      </c>
      <c r="M10" s="174" t="s">
        <v>16</v>
      </c>
      <c r="N10" s="174" t="s">
        <v>16</v>
      </c>
      <c r="O10" s="174" t="s">
        <v>16</v>
      </c>
      <c r="P10" s="174" t="s">
        <v>16</v>
      </c>
      <c r="Q10" s="174" t="s">
        <v>16</v>
      </c>
      <c r="R10" s="174" t="s">
        <v>16</v>
      </c>
      <c r="S10" s="174" t="s">
        <v>16</v>
      </c>
      <c r="T10" s="174" t="s">
        <v>16</v>
      </c>
      <c r="U10" s="174" t="s">
        <v>16</v>
      </c>
      <c r="V10" s="174" t="s">
        <v>16</v>
      </c>
      <c r="W10" s="174" t="s">
        <v>16</v>
      </c>
      <c r="X10" s="56" t="s">
        <v>16</v>
      </c>
      <c r="Y10" s="73" t="s">
        <v>16</v>
      </c>
      <c r="Z10" s="174" t="s">
        <v>16</v>
      </c>
      <c r="AA10" s="56" t="s">
        <v>16</v>
      </c>
      <c r="AB10" s="73" t="s">
        <v>16</v>
      </c>
      <c r="AC10" s="174" t="s">
        <v>16</v>
      </c>
      <c r="AD10" s="174" t="s">
        <v>16</v>
      </c>
      <c r="AE10" s="174" t="s">
        <v>16</v>
      </c>
      <c r="AF10" s="174" t="s">
        <v>16</v>
      </c>
      <c r="AG10" s="174" t="s">
        <v>16</v>
      </c>
      <c r="AH10" s="174" t="s">
        <v>16</v>
      </c>
      <c r="AI10" s="56" t="s">
        <v>16</v>
      </c>
      <c r="AJ10" s="73" t="s">
        <v>16</v>
      </c>
      <c r="AK10" s="174" t="s">
        <v>16</v>
      </c>
      <c r="AL10" s="174" t="s">
        <v>16</v>
      </c>
      <c r="AM10" s="174" t="s">
        <v>16</v>
      </c>
      <c r="AN10" s="73" t="s">
        <v>16</v>
      </c>
      <c r="AO10" s="56" t="s">
        <v>16</v>
      </c>
      <c r="AP10" s="239" t="s">
        <v>16</v>
      </c>
      <c r="AQ10" s="56" t="s">
        <v>16</v>
      </c>
      <c r="AR10" s="73" t="s">
        <v>16</v>
      </c>
      <c r="AS10" s="174" t="s">
        <v>16</v>
      </c>
      <c r="AT10" s="174" t="s">
        <v>16</v>
      </c>
      <c r="AU10" s="174" t="s">
        <v>16</v>
      </c>
      <c r="AV10" s="174" t="s">
        <v>16</v>
      </c>
      <c r="AW10" s="174" t="s">
        <v>16</v>
      </c>
      <c r="AX10" s="174" t="s">
        <v>16</v>
      </c>
      <c r="AY10" s="174" t="s">
        <v>16</v>
      </c>
      <c r="AZ10" s="174" t="s">
        <v>16</v>
      </c>
      <c r="BA10" s="250" t="s">
        <v>16</v>
      </c>
      <c r="BB10" s="250" t="s">
        <v>16</v>
      </c>
      <c r="BC10" s="174" t="s">
        <v>16</v>
      </c>
      <c r="BD10" s="70" t="s">
        <v>16</v>
      </c>
      <c r="BE10" s="275" t="s">
        <v>548</v>
      </c>
    </row>
    <row r="11" spans="1:57" x14ac:dyDescent="0.25">
      <c r="A11" s="217" t="s">
        <v>19</v>
      </c>
      <c r="B11" s="221" t="s">
        <v>20</v>
      </c>
      <c r="C11" s="219" t="s">
        <v>16</v>
      </c>
      <c r="D11" s="225" t="s">
        <v>16</v>
      </c>
      <c r="E11" s="174" t="s">
        <v>16</v>
      </c>
      <c r="F11" s="174" t="s">
        <v>16</v>
      </c>
      <c r="G11" s="56" t="s">
        <v>16</v>
      </c>
      <c r="H11" s="73" t="s">
        <v>16</v>
      </c>
      <c r="I11" s="174" t="s">
        <v>16</v>
      </c>
      <c r="J11" s="174" t="s">
        <v>16</v>
      </c>
      <c r="K11" s="174" t="s">
        <v>16</v>
      </c>
      <c r="L11" s="174" t="s">
        <v>16</v>
      </c>
      <c r="M11" s="174" t="s">
        <v>16</v>
      </c>
      <c r="N11" s="174" t="s">
        <v>16</v>
      </c>
      <c r="O11" s="174" t="s">
        <v>16</v>
      </c>
      <c r="P11" s="174" t="s">
        <v>16</v>
      </c>
      <c r="Q11" s="174" t="s">
        <v>16</v>
      </c>
      <c r="R11" s="174" t="s">
        <v>16</v>
      </c>
      <c r="S11" s="174" t="s">
        <v>16</v>
      </c>
      <c r="T11" s="174" t="s">
        <v>16</v>
      </c>
      <c r="U11" s="174" t="s">
        <v>16</v>
      </c>
      <c r="V11" s="174" t="s">
        <v>16</v>
      </c>
      <c r="W11" s="174" t="s">
        <v>16</v>
      </c>
      <c r="X11" s="56" t="s">
        <v>16</v>
      </c>
      <c r="Y11" s="73" t="s">
        <v>16</v>
      </c>
      <c r="Z11" s="174" t="s">
        <v>16</v>
      </c>
      <c r="AA11" s="56" t="s">
        <v>16</v>
      </c>
      <c r="AB11" s="73" t="s">
        <v>16</v>
      </c>
      <c r="AC11" s="174" t="s">
        <v>16</v>
      </c>
      <c r="AD11" s="174" t="s">
        <v>16</v>
      </c>
      <c r="AE11" s="174" t="s">
        <v>16</v>
      </c>
      <c r="AF11" s="174" t="s">
        <v>16</v>
      </c>
      <c r="AG11" s="174" t="s">
        <v>16</v>
      </c>
      <c r="AH11" s="174" t="s">
        <v>16</v>
      </c>
      <c r="AI11" s="56" t="s">
        <v>16</v>
      </c>
      <c r="AJ11" s="73" t="s">
        <v>16</v>
      </c>
      <c r="AK11" s="174" t="s">
        <v>16</v>
      </c>
      <c r="AL11" s="174" t="s">
        <v>16</v>
      </c>
      <c r="AM11" s="174" t="s">
        <v>16</v>
      </c>
      <c r="AN11" s="73" t="s">
        <v>16</v>
      </c>
      <c r="AO11" s="56" t="s">
        <v>16</v>
      </c>
      <c r="AP11" s="239" t="s">
        <v>16</v>
      </c>
      <c r="AQ11" s="56" t="s">
        <v>16</v>
      </c>
      <c r="AR11" s="73" t="s">
        <v>16</v>
      </c>
      <c r="AS11" s="174" t="s">
        <v>16</v>
      </c>
      <c r="AT11" s="174" t="s">
        <v>16</v>
      </c>
      <c r="AU11" s="174" t="s">
        <v>16</v>
      </c>
      <c r="AV11" s="174" t="s">
        <v>16</v>
      </c>
      <c r="AW11" s="174" t="s">
        <v>16</v>
      </c>
      <c r="AX11" s="174" t="s">
        <v>16</v>
      </c>
      <c r="AY11" s="174" t="s">
        <v>16</v>
      </c>
      <c r="AZ11" s="174" t="s">
        <v>16</v>
      </c>
      <c r="BA11" s="250" t="s">
        <v>16</v>
      </c>
      <c r="BB11" s="250" t="s">
        <v>16</v>
      </c>
      <c r="BC11" s="174" t="s">
        <v>16</v>
      </c>
      <c r="BD11" s="70" t="s">
        <v>16</v>
      </c>
      <c r="BE11" s="275"/>
    </row>
    <row r="12" spans="1:57" x14ac:dyDescent="0.25">
      <c r="A12" s="217" t="s">
        <v>21</v>
      </c>
      <c r="B12" s="218" t="s">
        <v>22</v>
      </c>
      <c r="C12" s="219" t="s">
        <v>16</v>
      </c>
      <c r="D12" s="225" t="s">
        <v>182</v>
      </c>
      <c r="E12" s="174" t="s">
        <v>16</v>
      </c>
      <c r="F12" s="174" t="s">
        <v>16</v>
      </c>
      <c r="G12" s="56" t="s">
        <v>16</v>
      </c>
      <c r="H12" s="73" t="s">
        <v>16</v>
      </c>
      <c r="I12" s="174" t="s">
        <v>16</v>
      </c>
      <c r="J12" s="174" t="s">
        <v>16</v>
      </c>
      <c r="K12" s="285" t="s">
        <v>16</v>
      </c>
      <c r="L12" s="285" t="s">
        <v>16</v>
      </c>
      <c r="M12" s="285" t="s">
        <v>16</v>
      </c>
      <c r="N12" s="285" t="s">
        <v>16</v>
      </c>
      <c r="O12" s="285" t="s">
        <v>16</v>
      </c>
      <c r="P12" s="285" t="s">
        <v>16</v>
      </c>
      <c r="Q12" s="285" t="s">
        <v>16</v>
      </c>
      <c r="R12" s="174" t="s">
        <v>16</v>
      </c>
      <c r="S12" s="174" t="s">
        <v>16</v>
      </c>
      <c r="T12" s="174" t="s">
        <v>16</v>
      </c>
      <c r="U12" s="174" t="s">
        <v>16</v>
      </c>
      <c r="V12" s="174" t="s">
        <v>16</v>
      </c>
      <c r="W12" s="174" t="s">
        <v>16</v>
      </c>
      <c r="X12" s="56" t="s">
        <v>16</v>
      </c>
      <c r="Y12" s="73" t="s">
        <v>16</v>
      </c>
      <c r="Z12" s="174" t="s">
        <v>16</v>
      </c>
      <c r="AA12" s="56" t="s">
        <v>16</v>
      </c>
      <c r="AB12" s="73" t="s">
        <v>16</v>
      </c>
      <c r="AC12" s="174" t="s">
        <v>16</v>
      </c>
      <c r="AD12" s="174" t="s">
        <v>16</v>
      </c>
      <c r="AE12" s="174" t="s">
        <v>16</v>
      </c>
      <c r="AF12" s="174" t="s">
        <v>16</v>
      </c>
      <c r="AG12" s="174" t="s">
        <v>16</v>
      </c>
      <c r="AH12" s="174" t="s">
        <v>16</v>
      </c>
      <c r="AI12" s="56" t="s">
        <v>16</v>
      </c>
      <c r="AJ12" s="73" t="s">
        <v>16</v>
      </c>
      <c r="AK12" s="174" t="s">
        <v>16</v>
      </c>
      <c r="AL12" s="174" t="s">
        <v>16</v>
      </c>
      <c r="AM12" s="174" t="s">
        <v>16</v>
      </c>
      <c r="AN12" s="73" t="s">
        <v>16</v>
      </c>
      <c r="AO12" s="56" t="s">
        <v>16</v>
      </c>
      <c r="AP12" s="239" t="s">
        <v>16</v>
      </c>
      <c r="AQ12" s="56" t="s">
        <v>16</v>
      </c>
      <c r="AR12" s="73" t="s">
        <v>16</v>
      </c>
      <c r="AS12" s="174" t="s">
        <v>16</v>
      </c>
      <c r="AT12" s="174" t="s">
        <v>16</v>
      </c>
      <c r="AU12" s="174" t="s">
        <v>16</v>
      </c>
      <c r="AV12" s="174" t="s">
        <v>16</v>
      </c>
      <c r="AW12" s="174" t="s">
        <v>16</v>
      </c>
      <c r="AX12" s="174" t="s">
        <v>16</v>
      </c>
      <c r="AY12" s="174" t="s">
        <v>16</v>
      </c>
      <c r="AZ12" s="174" t="s">
        <v>16</v>
      </c>
      <c r="BA12" s="250" t="s">
        <v>16</v>
      </c>
      <c r="BB12" s="250" t="s">
        <v>16</v>
      </c>
      <c r="BC12" s="174" t="s">
        <v>16</v>
      </c>
      <c r="BD12" s="70" t="s">
        <v>16</v>
      </c>
      <c r="BE12" s="275" t="s">
        <v>548</v>
      </c>
    </row>
    <row r="13" spans="1:57" x14ac:dyDescent="0.25">
      <c r="A13" s="217" t="s">
        <v>23</v>
      </c>
      <c r="B13" s="218" t="s">
        <v>24</v>
      </c>
      <c r="C13" s="219" t="s">
        <v>16</v>
      </c>
      <c r="D13" s="225" t="s">
        <v>182</v>
      </c>
      <c r="E13" s="174" t="s">
        <v>16</v>
      </c>
      <c r="F13" s="174" t="s">
        <v>16</v>
      </c>
      <c r="G13" s="56" t="s">
        <v>16</v>
      </c>
      <c r="H13" s="73" t="s">
        <v>16</v>
      </c>
      <c r="I13" s="174" t="s">
        <v>16</v>
      </c>
      <c r="J13" s="174" t="s">
        <v>16</v>
      </c>
      <c r="K13" s="285" t="s">
        <v>16</v>
      </c>
      <c r="L13" s="285" t="s">
        <v>16</v>
      </c>
      <c r="M13" s="285" t="s">
        <v>16</v>
      </c>
      <c r="N13" s="285" t="s">
        <v>16</v>
      </c>
      <c r="O13" s="285" t="s">
        <v>16</v>
      </c>
      <c r="P13" s="285" t="s">
        <v>16</v>
      </c>
      <c r="Q13" s="285" t="s">
        <v>16</v>
      </c>
      <c r="R13" s="174" t="s">
        <v>16</v>
      </c>
      <c r="S13" s="174" t="s">
        <v>16</v>
      </c>
      <c r="T13" s="174" t="s">
        <v>16</v>
      </c>
      <c r="U13" s="174" t="s">
        <v>16</v>
      </c>
      <c r="V13" s="174" t="s">
        <v>16</v>
      </c>
      <c r="W13" s="174" t="s">
        <v>16</v>
      </c>
      <c r="X13" s="56" t="s">
        <v>16</v>
      </c>
      <c r="Y13" s="73" t="s">
        <v>16</v>
      </c>
      <c r="Z13" s="174" t="s">
        <v>16</v>
      </c>
      <c r="AA13" s="56" t="s">
        <v>16</v>
      </c>
      <c r="AB13" s="73" t="s">
        <v>16</v>
      </c>
      <c r="AC13" s="174" t="s">
        <v>16</v>
      </c>
      <c r="AD13" s="174" t="s">
        <v>16</v>
      </c>
      <c r="AE13" s="174" t="s">
        <v>16</v>
      </c>
      <c r="AF13" s="174" t="s">
        <v>16</v>
      </c>
      <c r="AG13" s="174" t="s">
        <v>16</v>
      </c>
      <c r="AH13" s="174" t="s">
        <v>16</v>
      </c>
      <c r="AI13" s="56" t="s">
        <v>16</v>
      </c>
      <c r="AJ13" s="73" t="s">
        <v>16</v>
      </c>
      <c r="AK13" s="174" t="s">
        <v>16</v>
      </c>
      <c r="AL13" s="174" t="s">
        <v>16</v>
      </c>
      <c r="AM13" s="174" t="s">
        <v>16</v>
      </c>
      <c r="AN13" s="73" t="s">
        <v>16</v>
      </c>
      <c r="AO13" s="56" t="s">
        <v>16</v>
      </c>
      <c r="AP13" s="239" t="s">
        <v>16</v>
      </c>
      <c r="AQ13" s="56" t="s">
        <v>16</v>
      </c>
      <c r="AR13" s="73" t="s">
        <v>16</v>
      </c>
      <c r="AS13" s="174" t="s">
        <v>16</v>
      </c>
      <c r="AT13" s="174" t="s">
        <v>16</v>
      </c>
      <c r="AU13" s="174" t="s">
        <v>16</v>
      </c>
      <c r="AV13" s="174" t="s">
        <v>16</v>
      </c>
      <c r="AW13" s="174" t="s">
        <v>16</v>
      </c>
      <c r="AX13" s="174" t="s">
        <v>16</v>
      </c>
      <c r="AY13" s="174" t="s">
        <v>16</v>
      </c>
      <c r="AZ13" s="174" t="s">
        <v>16</v>
      </c>
      <c r="BA13" s="250" t="s">
        <v>16</v>
      </c>
      <c r="BB13" s="250" t="s">
        <v>16</v>
      </c>
      <c r="BC13" s="174" t="s">
        <v>16</v>
      </c>
      <c r="BD13" s="70" t="s">
        <v>16</v>
      </c>
      <c r="BE13" s="275" t="s">
        <v>548</v>
      </c>
    </row>
    <row r="14" spans="1:57" x14ac:dyDescent="0.25">
      <c r="A14" s="217" t="s">
        <v>106</v>
      </c>
      <c r="B14" s="218" t="s">
        <v>159</v>
      </c>
      <c r="C14" s="219" t="s">
        <v>182</v>
      </c>
      <c r="D14" s="225" t="s">
        <v>182</v>
      </c>
      <c r="E14" s="20" t="s">
        <v>863</v>
      </c>
      <c r="F14" s="20" t="s">
        <v>863</v>
      </c>
      <c r="G14" s="222" t="s">
        <v>20</v>
      </c>
      <c r="H14" s="248" t="s">
        <v>16</v>
      </c>
      <c r="I14" s="19" t="s">
        <v>16</v>
      </c>
      <c r="J14" s="19" t="s">
        <v>16</v>
      </c>
      <c r="K14" s="286" t="s">
        <v>16</v>
      </c>
      <c r="L14" s="286" t="s">
        <v>16</v>
      </c>
      <c r="M14" s="285" t="s">
        <v>16</v>
      </c>
      <c r="N14" s="286" t="s">
        <v>16</v>
      </c>
      <c r="O14" s="286" t="s">
        <v>16</v>
      </c>
      <c r="P14" s="286" t="s">
        <v>16</v>
      </c>
      <c r="Q14" s="286" t="s">
        <v>16</v>
      </c>
      <c r="R14" s="19" t="s">
        <v>16</v>
      </c>
      <c r="S14" s="19" t="s">
        <v>16</v>
      </c>
      <c r="T14" s="19" t="s">
        <v>16</v>
      </c>
      <c r="U14" s="19" t="s">
        <v>16</v>
      </c>
      <c r="V14" s="19" t="s">
        <v>16</v>
      </c>
      <c r="W14" s="19" t="s">
        <v>16</v>
      </c>
      <c r="X14" s="222" t="s">
        <v>16</v>
      </c>
      <c r="Y14" s="248" t="s">
        <v>16</v>
      </c>
      <c r="Z14" s="19" t="s">
        <v>16</v>
      </c>
      <c r="AA14" s="222" t="s">
        <v>16</v>
      </c>
      <c r="AB14" s="73" t="s">
        <v>16</v>
      </c>
      <c r="AC14" s="174" t="s">
        <v>16</v>
      </c>
      <c r="AD14" s="174" t="s">
        <v>182</v>
      </c>
      <c r="AE14" s="174" t="s">
        <v>657</v>
      </c>
      <c r="AF14" s="174" t="s">
        <v>16</v>
      </c>
      <c r="AG14" s="174" t="s">
        <v>16</v>
      </c>
      <c r="AH14" s="174" t="s">
        <v>16</v>
      </c>
      <c r="AI14" s="56" t="s">
        <v>16</v>
      </c>
      <c r="AJ14" s="73" t="s">
        <v>16</v>
      </c>
      <c r="AK14" s="174" t="s">
        <v>16</v>
      </c>
      <c r="AL14" s="174" t="s">
        <v>16</v>
      </c>
      <c r="AM14" s="174" t="s">
        <v>16</v>
      </c>
      <c r="AN14" s="73" t="s">
        <v>52</v>
      </c>
      <c r="AO14" s="222" t="s">
        <v>862</v>
      </c>
      <c r="AP14" s="239" t="s">
        <v>502</v>
      </c>
      <c r="AQ14" s="106" t="s">
        <v>864</v>
      </c>
      <c r="AR14" s="73" t="s">
        <v>182</v>
      </c>
      <c r="AS14" s="174" t="s">
        <v>20</v>
      </c>
      <c r="AT14" s="174" t="s">
        <v>20</v>
      </c>
      <c r="AU14" s="174" t="s">
        <v>20</v>
      </c>
      <c r="AV14" s="174" t="s">
        <v>20</v>
      </c>
      <c r="AW14" s="174" t="s">
        <v>20</v>
      </c>
      <c r="AX14" s="174" t="s">
        <v>20</v>
      </c>
      <c r="AY14" s="174" t="s">
        <v>20</v>
      </c>
      <c r="AZ14" s="174" t="s">
        <v>20</v>
      </c>
      <c r="BA14" s="250" t="s">
        <v>16</v>
      </c>
      <c r="BB14" s="250" t="s">
        <v>16</v>
      </c>
      <c r="BC14" s="250" t="s">
        <v>16</v>
      </c>
      <c r="BD14" s="70" t="s">
        <v>865</v>
      </c>
      <c r="BE14" s="70"/>
    </row>
    <row r="15" spans="1:57" x14ac:dyDescent="0.25">
      <c r="A15" s="217" t="s">
        <v>26</v>
      </c>
      <c r="B15" s="218" t="s">
        <v>27</v>
      </c>
      <c r="C15" s="219" t="s">
        <v>16</v>
      </c>
      <c r="D15" s="225" t="s">
        <v>182</v>
      </c>
      <c r="E15" s="174" t="s">
        <v>16</v>
      </c>
      <c r="F15" s="174" t="s">
        <v>16</v>
      </c>
      <c r="G15" s="56" t="s">
        <v>16</v>
      </c>
      <c r="H15" s="73" t="s">
        <v>16</v>
      </c>
      <c r="I15" s="174" t="s">
        <v>16</v>
      </c>
      <c r="J15" s="174" t="s">
        <v>16</v>
      </c>
      <c r="K15" s="285" t="s">
        <v>16</v>
      </c>
      <c r="L15" s="285" t="s">
        <v>16</v>
      </c>
      <c r="M15" s="285" t="s">
        <v>16</v>
      </c>
      <c r="N15" s="285" t="s">
        <v>16</v>
      </c>
      <c r="O15" s="285" t="s">
        <v>16</v>
      </c>
      <c r="P15" s="285" t="s">
        <v>16</v>
      </c>
      <c r="Q15" s="285" t="s">
        <v>16</v>
      </c>
      <c r="R15" s="174" t="s">
        <v>16</v>
      </c>
      <c r="S15" s="174" t="s">
        <v>16</v>
      </c>
      <c r="T15" s="174" t="s">
        <v>16</v>
      </c>
      <c r="U15" s="174" t="s">
        <v>16</v>
      </c>
      <c r="V15" s="174" t="s">
        <v>16</v>
      </c>
      <c r="W15" s="174" t="s">
        <v>16</v>
      </c>
      <c r="X15" s="56" t="s">
        <v>16</v>
      </c>
      <c r="Y15" s="73" t="s">
        <v>16</v>
      </c>
      <c r="Z15" s="174" t="s">
        <v>16</v>
      </c>
      <c r="AA15" s="56" t="s">
        <v>16</v>
      </c>
      <c r="AB15" s="73" t="s">
        <v>16</v>
      </c>
      <c r="AC15" s="174" t="s">
        <v>16</v>
      </c>
      <c r="AD15" s="174" t="s">
        <v>16</v>
      </c>
      <c r="AE15" s="174" t="s">
        <v>16</v>
      </c>
      <c r="AF15" s="174" t="s">
        <v>16</v>
      </c>
      <c r="AG15" s="174" t="s">
        <v>16</v>
      </c>
      <c r="AH15" s="174" t="s">
        <v>16</v>
      </c>
      <c r="AI15" s="56" t="s">
        <v>16</v>
      </c>
      <c r="AJ15" s="73" t="s">
        <v>16</v>
      </c>
      <c r="AK15" s="174" t="s">
        <v>16</v>
      </c>
      <c r="AL15" s="174" t="s">
        <v>16</v>
      </c>
      <c r="AM15" s="174" t="s">
        <v>16</v>
      </c>
      <c r="AN15" s="73" t="s">
        <v>16</v>
      </c>
      <c r="AO15" s="56" t="s">
        <v>16</v>
      </c>
      <c r="AP15" s="239" t="s">
        <v>16</v>
      </c>
      <c r="AQ15" s="56" t="s">
        <v>16</v>
      </c>
      <c r="AR15" s="73" t="s">
        <v>16</v>
      </c>
      <c r="AS15" s="174" t="s">
        <v>16</v>
      </c>
      <c r="AT15" s="174" t="s">
        <v>16</v>
      </c>
      <c r="AU15" s="174" t="s">
        <v>16</v>
      </c>
      <c r="AV15" s="174" t="s">
        <v>16</v>
      </c>
      <c r="AW15" s="174" t="s">
        <v>16</v>
      </c>
      <c r="AX15" s="174" t="s">
        <v>16</v>
      </c>
      <c r="AY15" s="174" t="s">
        <v>16</v>
      </c>
      <c r="AZ15" s="174" t="s">
        <v>16</v>
      </c>
      <c r="BA15" s="250" t="s">
        <v>16</v>
      </c>
      <c r="BB15" s="250" t="s">
        <v>16</v>
      </c>
      <c r="BC15" s="174" t="s">
        <v>16</v>
      </c>
      <c r="BD15" s="70" t="s">
        <v>16</v>
      </c>
      <c r="BE15" s="275" t="s">
        <v>548</v>
      </c>
    </row>
    <row r="16" spans="1:57" x14ac:dyDescent="0.25">
      <c r="A16" s="217" t="s">
        <v>28</v>
      </c>
      <c r="B16" s="218" t="s">
        <v>29</v>
      </c>
      <c r="C16" s="219" t="s">
        <v>16</v>
      </c>
      <c r="D16" s="225" t="s">
        <v>182</v>
      </c>
      <c r="E16" s="174" t="s">
        <v>16</v>
      </c>
      <c r="F16" s="174" t="s">
        <v>16</v>
      </c>
      <c r="G16" s="56" t="s">
        <v>16</v>
      </c>
      <c r="H16" s="73" t="s">
        <v>16</v>
      </c>
      <c r="I16" s="174" t="s">
        <v>16</v>
      </c>
      <c r="J16" s="174" t="s">
        <v>16</v>
      </c>
      <c r="K16" s="285" t="s">
        <v>16</v>
      </c>
      <c r="L16" s="285" t="s">
        <v>16</v>
      </c>
      <c r="M16" s="285" t="s">
        <v>16</v>
      </c>
      <c r="N16" s="285" t="s">
        <v>16</v>
      </c>
      <c r="O16" s="285" t="s">
        <v>16</v>
      </c>
      <c r="P16" s="285" t="s">
        <v>16</v>
      </c>
      <c r="Q16" s="285" t="s">
        <v>16</v>
      </c>
      <c r="R16" s="174" t="s">
        <v>16</v>
      </c>
      <c r="S16" s="174" t="s">
        <v>16</v>
      </c>
      <c r="T16" s="174" t="s">
        <v>16</v>
      </c>
      <c r="U16" s="174" t="s">
        <v>16</v>
      </c>
      <c r="V16" s="174" t="s">
        <v>16</v>
      </c>
      <c r="W16" s="174" t="s">
        <v>16</v>
      </c>
      <c r="X16" s="56" t="s">
        <v>16</v>
      </c>
      <c r="Y16" s="73" t="s">
        <v>16</v>
      </c>
      <c r="Z16" s="174" t="s">
        <v>16</v>
      </c>
      <c r="AA16" s="56" t="s">
        <v>16</v>
      </c>
      <c r="AB16" s="73" t="s">
        <v>16</v>
      </c>
      <c r="AC16" s="174" t="s">
        <v>16</v>
      </c>
      <c r="AD16" s="174" t="s">
        <v>16</v>
      </c>
      <c r="AE16" s="174" t="s">
        <v>16</v>
      </c>
      <c r="AF16" s="174" t="s">
        <v>16</v>
      </c>
      <c r="AG16" s="174" t="s">
        <v>16</v>
      </c>
      <c r="AH16" s="174" t="s">
        <v>16</v>
      </c>
      <c r="AI16" s="56" t="s">
        <v>16</v>
      </c>
      <c r="AJ16" s="73" t="s">
        <v>16</v>
      </c>
      <c r="AK16" s="174" t="s">
        <v>16</v>
      </c>
      <c r="AL16" s="174" t="s">
        <v>16</v>
      </c>
      <c r="AM16" s="174" t="s">
        <v>16</v>
      </c>
      <c r="AN16" s="73" t="s">
        <v>16</v>
      </c>
      <c r="AO16" s="56" t="s">
        <v>16</v>
      </c>
      <c r="AP16" s="239" t="s">
        <v>16</v>
      </c>
      <c r="AQ16" s="56" t="s">
        <v>16</v>
      </c>
      <c r="AR16" s="73" t="s">
        <v>16</v>
      </c>
      <c r="AS16" s="174" t="s">
        <v>16</v>
      </c>
      <c r="AT16" s="174" t="s">
        <v>16</v>
      </c>
      <c r="AU16" s="174" t="s">
        <v>16</v>
      </c>
      <c r="AV16" s="174" t="s">
        <v>16</v>
      </c>
      <c r="AW16" s="174" t="s">
        <v>16</v>
      </c>
      <c r="AX16" s="174" t="s">
        <v>16</v>
      </c>
      <c r="AY16" s="174" t="s">
        <v>16</v>
      </c>
      <c r="AZ16" s="174" t="s">
        <v>16</v>
      </c>
      <c r="BA16" s="250" t="s">
        <v>16</v>
      </c>
      <c r="BB16" s="250" t="s">
        <v>16</v>
      </c>
      <c r="BC16" s="174" t="s">
        <v>16</v>
      </c>
      <c r="BD16" s="70" t="s">
        <v>16</v>
      </c>
      <c r="BE16" s="275" t="s">
        <v>548</v>
      </c>
    </row>
    <row r="17" spans="1:57" x14ac:dyDescent="0.25">
      <c r="A17" s="217" t="s">
        <v>107</v>
      </c>
      <c r="B17" s="218" t="s">
        <v>160</v>
      </c>
      <c r="C17" s="174" t="s">
        <v>182</v>
      </c>
      <c r="D17" s="225" t="s">
        <v>182</v>
      </c>
      <c r="E17" s="174"/>
      <c r="F17" s="174"/>
      <c r="G17" s="56"/>
      <c r="H17" s="73">
        <v>248</v>
      </c>
      <c r="I17" s="174">
        <v>98</v>
      </c>
      <c r="J17" s="174" t="s">
        <v>16</v>
      </c>
      <c r="K17" s="285" t="s">
        <v>16</v>
      </c>
      <c r="L17" s="285" t="s">
        <v>16</v>
      </c>
      <c r="M17" s="285" t="s">
        <v>16</v>
      </c>
      <c r="N17" s="285" t="s">
        <v>16</v>
      </c>
      <c r="O17" s="285" t="s">
        <v>16</v>
      </c>
      <c r="P17" s="285" t="s">
        <v>16</v>
      </c>
      <c r="Q17" s="285" t="s">
        <v>16</v>
      </c>
      <c r="R17" s="174" t="s">
        <v>16</v>
      </c>
      <c r="S17" s="174" t="s">
        <v>16</v>
      </c>
      <c r="T17" s="174" t="s">
        <v>16</v>
      </c>
      <c r="U17" s="174" t="s">
        <v>16</v>
      </c>
      <c r="V17" s="174" t="s">
        <v>16</v>
      </c>
      <c r="W17" s="174" t="s">
        <v>16</v>
      </c>
      <c r="X17" s="56" t="s">
        <v>16</v>
      </c>
      <c r="Y17" s="73" t="s">
        <v>16</v>
      </c>
      <c r="Z17" s="174" t="s">
        <v>16</v>
      </c>
      <c r="AA17" s="56" t="s">
        <v>16</v>
      </c>
      <c r="AB17" s="73" t="s">
        <v>16</v>
      </c>
      <c r="AC17" s="174" t="s">
        <v>16</v>
      </c>
      <c r="AD17" s="174" t="s">
        <v>16</v>
      </c>
      <c r="AE17" s="174" t="s">
        <v>657</v>
      </c>
      <c r="AF17" s="174" t="s">
        <v>16</v>
      </c>
      <c r="AG17" s="174" t="s">
        <v>16</v>
      </c>
      <c r="AH17" s="174" t="s">
        <v>16</v>
      </c>
      <c r="AI17" s="56" t="s">
        <v>16</v>
      </c>
      <c r="AJ17" s="73" t="s">
        <v>16</v>
      </c>
      <c r="AK17" s="174" t="s">
        <v>16</v>
      </c>
      <c r="AL17" s="174" t="s">
        <v>16</v>
      </c>
      <c r="AM17" s="174" t="s">
        <v>16</v>
      </c>
      <c r="AN17" s="73" t="s">
        <v>859</v>
      </c>
      <c r="AO17" s="56" t="s">
        <v>16</v>
      </c>
      <c r="AP17" s="239" t="s">
        <v>510</v>
      </c>
      <c r="AQ17" s="106" t="s">
        <v>658</v>
      </c>
      <c r="AR17" s="73" t="s">
        <v>182</v>
      </c>
      <c r="AS17" s="174" t="s">
        <v>20</v>
      </c>
      <c r="AT17" s="174" t="s">
        <v>20</v>
      </c>
      <c r="AU17" s="174" t="s">
        <v>20</v>
      </c>
      <c r="AV17" s="174" t="s">
        <v>20</v>
      </c>
      <c r="AW17" s="174" t="s">
        <v>20</v>
      </c>
      <c r="AX17" s="174" t="s">
        <v>20</v>
      </c>
      <c r="AY17" s="174" t="s">
        <v>20</v>
      </c>
      <c r="AZ17" s="174" t="s">
        <v>20</v>
      </c>
      <c r="BA17" s="174" t="s">
        <v>16</v>
      </c>
      <c r="BB17" s="174" t="s">
        <v>16</v>
      </c>
      <c r="BC17" s="174" t="s">
        <v>16</v>
      </c>
      <c r="BD17" s="70" t="s">
        <v>861</v>
      </c>
      <c r="BE17" s="70" t="s">
        <v>25</v>
      </c>
    </row>
    <row r="18" spans="1:57" x14ac:dyDescent="0.25">
      <c r="A18" s="217" t="s">
        <v>108</v>
      </c>
      <c r="B18" s="218" t="s">
        <v>161</v>
      </c>
      <c r="C18" s="174" t="s">
        <v>182</v>
      </c>
      <c r="D18" s="225" t="s">
        <v>182</v>
      </c>
      <c r="E18" s="174" t="s">
        <v>20</v>
      </c>
      <c r="F18" s="174" t="s">
        <v>20</v>
      </c>
      <c r="G18" s="56" t="s">
        <v>20</v>
      </c>
      <c r="H18" s="73" t="s">
        <v>16</v>
      </c>
      <c r="I18" s="174" t="s">
        <v>16</v>
      </c>
      <c r="J18" s="174" t="s">
        <v>16</v>
      </c>
      <c r="K18" s="285" t="s">
        <v>16</v>
      </c>
      <c r="L18" s="285" t="s">
        <v>16</v>
      </c>
      <c r="M18" s="285" t="s">
        <v>16</v>
      </c>
      <c r="N18" s="285" t="s">
        <v>16</v>
      </c>
      <c r="O18" s="285" t="s">
        <v>16</v>
      </c>
      <c r="P18" s="285" t="s">
        <v>16</v>
      </c>
      <c r="Q18" s="285" t="s">
        <v>16</v>
      </c>
      <c r="R18" s="174" t="s">
        <v>16</v>
      </c>
      <c r="S18" s="174" t="s">
        <v>16</v>
      </c>
      <c r="T18" s="174" t="s">
        <v>16</v>
      </c>
      <c r="U18" s="174" t="s">
        <v>16</v>
      </c>
      <c r="V18" s="174" t="s">
        <v>16</v>
      </c>
      <c r="W18" s="174" t="s">
        <v>16</v>
      </c>
      <c r="X18" s="56" t="s">
        <v>16</v>
      </c>
      <c r="Y18" s="73" t="s">
        <v>16</v>
      </c>
      <c r="Z18" s="174" t="s">
        <v>16</v>
      </c>
      <c r="AA18" s="56" t="s">
        <v>16</v>
      </c>
      <c r="AB18" s="73" t="s">
        <v>16</v>
      </c>
      <c r="AC18" s="174" t="s">
        <v>16</v>
      </c>
      <c r="AD18" s="174" t="s">
        <v>16</v>
      </c>
      <c r="AE18" s="174" t="s">
        <v>16</v>
      </c>
      <c r="AF18" s="174" t="s">
        <v>16</v>
      </c>
      <c r="AG18" s="174" t="s">
        <v>16</v>
      </c>
      <c r="AH18" s="174" t="s">
        <v>16</v>
      </c>
      <c r="AI18" s="56" t="s">
        <v>16</v>
      </c>
      <c r="AJ18" s="73" t="s">
        <v>16</v>
      </c>
      <c r="AK18" s="174" t="s">
        <v>16</v>
      </c>
      <c r="AL18" s="174" t="s">
        <v>16</v>
      </c>
      <c r="AM18" s="174" t="s">
        <v>16</v>
      </c>
      <c r="AN18" s="73" t="s">
        <v>868</v>
      </c>
      <c r="AO18" s="56" t="s">
        <v>16</v>
      </c>
      <c r="AP18" s="239" t="s">
        <v>869</v>
      </c>
      <c r="AQ18" s="56" t="s">
        <v>867</v>
      </c>
      <c r="AR18" s="73" t="s">
        <v>182</v>
      </c>
      <c r="AS18" s="174" t="s">
        <v>20</v>
      </c>
      <c r="AT18" s="174" t="s">
        <v>20</v>
      </c>
      <c r="AU18" s="174" t="s">
        <v>20</v>
      </c>
      <c r="AV18" s="174" t="s">
        <v>20</v>
      </c>
      <c r="AW18" s="174" t="s">
        <v>20</v>
      </c>
      <c r="AX18" s="174" t="s">
        <v>20</v>
      </c>
      <c r="AY18" s="174" t="s">
        <v>20</v>
      </c>
      <c r="AZ18" s="174" t="s">
        <v>20</v>
      </c>
      <c r="BA18" s="250" t="s">
        <v>16</v>
      </c>
      <c r="BB18" s="250" t="s">
        <v>16</v>
      </c>
      <c r="BC18" s="174" t="s">
        <v>16</v>
      </c>
      <c r="BD18" s="70" t="s">
        <v>866</v>
      </c>
      <c r="BE18" s="70" t="s">
        <v>25</v>
      </c>
    </row>
    <row r="19" spans="1:57" x14ac:dyDescent="0.25">
      <c r="A19" s="217" t="s">
        <v>109</v>
      </c>
      <c r="B19" s="218" t="s">
        <v>54</v>
      </c>
      <c r="C19" s="174" t="s">
        <v>16</v>
      </c>
      <c r="D19" s="225" t="s">
        <v>182</v>
      </c>
      <c r="E19" s="174">
        <v>346</v>
      </c>
      <c r="F19" s="174">
        <v>346</v>
      </c>
      <c r="G19" s="56">
        <v>335</v>
      </c>
      <c r="H19" s="73" t="s">
        <v>16</v>
      </c>
      <c r="I19" s="174" t="s">
        <v>16</v>
      </c>
      <c r="J19" s="174" t="s">
        <v>16</v>
      </c>
      <c r="K19" s="285" t="s">
        <v>16</v>
      </c>
      <c r="L19" s="285" t="s">
        <v>16</v>
      </c>
      <c r="M19" s="285" t="s">
        <v>16</v>
      </c>
      <c r="N19" s="285" t="s">
        <v>16</v>
      </c>
      <c r="O19" s="285" t="s">
        <v>16</v>
      </c>
      <c r="P19" s="285">
        <v>346</v>
      </c>
      <c r="Q19" s="285" t="s">
        <v>16</v>
      </c>
      <c r="R19" s="174" t="s">
        <v>16</v>
      </c>
      <c r="S19" s="174" t="s">
        <v>16</v>
      </c>
      <c r="T19" s="174" t="s">
        <v>16</v>
      </c>
      <c r="U19" s="174" t="s">
        <v>16</v>
      </c>
      <c r="V19" s="174" t="s">
        <v>16</v>
      </c>
      <c r="W19" s="174" t="s">
        <v>16</v>
      </c>
      <c r="X19" s="56">
        <v>346</v>
      </c>
      <c r="Y19" s="58">
        <v>0.45100000000000001</v>
      </c>
      <c r="Z19" s="250">
        <v>0.54900000000000004</v>
      </c>
      <c r="AA19" s="56">
        <v>346</v>
      </c>
      <c r="AB19" s="73" t="s">
        <v>16</v>
      </c>
      <c r="AC19" s="174" t="s">
        <v>16</v>
      </c>
      <c r="AD19" s="174" t="s">
        <v>16</v>
      </c>
      <c r="AE19" s="174" t="s">
        <v>182</v>
      </c>
      <c r="AF19" s="174" t="s">
        <v>16</v>
      </c>
      <c r="AG19" s="174" t="s">
        <v>16</v>
      </c>
      <c r="AH19" s="174" t="s">
        <v>16</v>
      </c>
      <c r="AI19" s="56" t="s">
        <v>16</v>
      </c>
      <c r="AJ19" s="73" t="s">
        <v>16</v>
      </c>
      <c r="AK19" s="174" t="s">
        <v>16</v>
      </c>
      <c r="AL19" s="174" t="s">
        <v>16</v>
      </c>
      <c r="AM19" s="174" t="s">
        <v>16</v>
      </c>
      <c r="AN19" s="73" t="s">
        <v>52</v>
      </c>
      <c r="AO19" s="223" t="s">
        <v>871</v>
      </c>
      <c r="AP19" s="239" t="s">
        <v>500</v>
      </c>
      <c r="AQ19" s="106" t="s">
        <v>872</v>
      </c>
      <c r="AR19" s="73" t="s">
        <v>16</v>
      </c>
      <c r="AS19" s="174" t="s">
        <v>16</v>
      </c>
      <c r="AT19" s="174" t="s">
        <v>16</v>
      </c>
      <c r="AU19" s="174" t="s">
        <v>16</v>
      </c>
      <c r="AV19" s="174" t="s">
        <v>16</v>
      </c>
      <c r="AW19" s="174" t="s">
        <v>16</v>
      </c>
      <c r="AX19" s="174" t="s">
        <v>16</v>
      </c>
      <c r="AY19" s="174" t="s">
        <v>16</v>
      </c>
      <c r="AZ19" s="174" t="s">
        <v>16</v>
      </c>
      <c r="BA19" s="174" t="s">
        <v>16</v>
      </c>
      <c r="BB19" s="174" t="s">
        <v>16</v>
      </c>
      <c r="BC19" s="174" t="s">
        <v>16</v>
      </c>
      <c r="BD19" s="70" t="s">
        <v>873</v>
      </c>
      <c r="BE19" s="70"/>
    </row>
    <row r="20" spans="1:57" x14ac:dyDescent="0.25">
      <c r="A20" s="217" t="s">
        <v>110</v>
      </c>
      <c r="B20" s="218" t="s">
        <v>54</v>
      </c>
      <c r="C20" s="174" t="s">
        <v>16</v>
      </c>
      <c r="D20" s="225" t="s">
        <v>182</v>
      </c>
      <c r="E20" s="174"/>
      <c r="F20" s="174"/>
      <c r="G20" s="56"/>
      <c r="H20" s="73" t="s">
        <v>16</v>
      </c>
      <c r="I20" s="174" t="s">
        <v>16</v>
      </c>
      <c r="J20" s="174" t="s">
        <v>16</v>
      </c>
      <c r="K20" s="285" t="s">
        <v>16</v>
      </c>
      <c r="L20" s="285" t="s">
        <v>16</v>
      </c>
      <c r="M20" s="285" t="s">
        <v>16</v>
      </c>
      <c r="N20" s="285" t="s">
        <v>16</v>
      </c>
      <c r="O20" s="285" t="s">
        <v>16</v>
      </c>
      <c r="P20" s="285" t="s">
        <v>16</v>
      </c>
      <c r="Q20" s="285" t="s">
        <v>16</v>
      </c>
      <c r="R20" s="174" t="s">
        <v>16</v>
      </c>
      <c r="S20" s="174" t="s">
        <v>16</v>
      </c>
      <c r="T20" s="174" t="s">
        <v>16</v>
      </c>
      <c r="U20" s="174" t="s">
        <v>16</v>
      </c>
      <c r="V20" s="174" t="s">
        <v>16</v>
      </c>
      <c r="W20" s="174" t="s">
        <v>16</v>
      </c>
      <c r="X20" s="56" t="s">
        <v>16</v>
      </c>
      <c r="Y20" s="73" t="s">
        <v>16</v>
      </c>
      <c r="Z20" s="174" t="s">
        <v>16</v>
      </c>
      <c r="AA20" s="56" t="s">
        <v>16</v>
      </c>
      <c r="AB20" s="73" t="s">
        <v>16</v>
      </c>
      <c r="AC20" s="174" t="s">
        <v>16</v>
      </c>
      <c r="AD20" s="174" t="s">
        <v>182</v>
      </c>
      <c r="AE20" s="174" t="s">
        <v>182</v>
      </c>
      <c r="AF20" s="174" t="s">
        <v>16</v>
      </c>
      <c r="AG20" s="174" t="s">
        <v>16</v>
      </c>
      <c r="AH20" s="174" t="s">
        <v>16</v>
      </c>
      <c r="AI20" s="56" t="s">
        <v>16</v>
      </c>
      <c r="AJ20" s="73" t="s">
        <v>182</v>
      </c>
      <c r="AK20" s="174" t="s">
        <v>182</v>
      </c>
      <c r="AL20" s="174" t="s">
        <v>16</v>
      </c>
      <c r="AM20" s="174" t="s">
        <v>16</v>
      </c>
      <c r="AN20" s="73" t="s">
        <v>50</v>
      </c>
      <c r="AO20" s="223" t="s">
        <v>392</v>
      </c>
      <c r="AP20" s="239" t="s">
        <v>463</v>
      </c>
      <c r="AQ20" s="56" t="s">
        <v>16</v>
      </c>
      <c r="AR20" s="73" t="s">
        <v>182</v>
      </c>
      <c r="AS20" s="174" t="s">
        <v>20</v>
      </c>
      <c r="AT20" s="174" t="s">
        <v>20</v>
      </c>
      <c r="AU20" s="174" t="s">
        <v>20</v>
      </c>
      <c r="AV20" s="174" t="s">
        <v>20</v>
      </c>
      <c r="AW20" s="174" t="s">
        <v>20</v>
      </c>
      <c r="AX20" s="174" t="s">
        <v>20</v>
      </c>
      <c r="AY20" s="174" t="s">
        <v>20</v>
      </c>
      <c r="AZ20" s="174" t="s">
        <v>20</v>
      </c>
      <c r="BA20" s="174" t="s">
        <v>16</v>
      </c>
      <c r="BB20" s="174" t="s">
        <v>16</v>
      </c>
      <c r="BC20" s="174" t="s">
        <v>16</v>
      </c>
      <c r="BD20" s="70" t="s">
        <v>243</v>
      </c>
      <c r="BE20" s="70"/>
    </row>
    <row r="21" spans="1:57" x14ac:dyDescent="0.25">
      <c r="A21" s="217" t="s">
        <v>111</v>
      </c>
      <c r="B21" s="218" t="s">
        <v>54</v>
      </c>
      <c r="C21" s="174" t="s">
        <v>16</v>
      </c>
      <c r="D21" s="225" t="s">
        <v>182</v>
      </c>
      <c r="E21" s="174"/>
      <c r="F21" s="174"/>
      <c r="G21" s="56"/>
      <c r="H21" s="73" t="s">
        <v>16</v>
      </c>
      <c r="I21" s="174" t="s">
        <v>16</v>
      </c>
      <c r="J21" s="174" t="s">
        <v>16</v>
      </c>
      <c r="K21" s="285" t="s">
        <v>16</v>
      </c>
      <c r="L21" s="285" t="s">
        <v>16</v>
      </c>
      <c r="M21" s="285" t="s">
        <v>16</v>
      </c>
      <c r="N21" s="285" t="s">
        <v>16</v>
      </c>
      <c r="O21" s="285" t="s">
        <v>16</v>
      </c>
      <c r="P21" s="285" t="s">
        <v>16</v>
      </c>
      <c r="Q21" s="285" t="s">
        <v>16</v>
      </c>
      <c r="R21" s="174" t="s">
        <v>16</v>
      </c>
      <c r="S21" s="174" t="s">
        <v>16</v>
      </c>
      <c r="T21" s="174" t="s">
        <v>16</v>
      </c>
      <c r="U21" s="174" t="s">
        <v>16</v>
      </c>
      <c r="V21" s="174" t="s">
        <v>16</v>
      </c>
      <c r="W21" s="174" t="s">
        <v>16</v>
      </c>
      <c r="X21" s="56" t="s">
        <v>16</v>
      </c>
      <c r="Y21" s="73" t="s">
        <v>16</v>
      </c>
      <c r="Z21" s="174" t="s">
        <v>16</v>
      </c>
      <c r="AA21" s="56" t="s">
        <v>16</v>
      </c>
      <c r="AB21" s="73" t="s">
        <v>16</v>
      </c>
      <c r="AC21" s="174" t="s">
        <v>16</v>
      </c>
      <c r="AD21" s="174" t="s">
        <v>16</v>
      </c>
      <c r="AE21" s="174" t="s">
        <v>16</v>
      </c>
      <c r="AF21" s="174" t="s">
        <v>16</v>
      </c>
      <c r="AG21" s="174" t="s">
        <v>16</v>
      </c>
      <c r="AH21" s="174" t="s">
        <v>16</v>
      </c>
      <c r="AI21" s="56" t="s">
        <v>16</v>
      </c>
      <c r="AJ21" s="73" t="s">
        <v>16</v>
      </c>
      <c r="AK21" s="174" t="s">
        <v>16</v>
      </c>
      <c r="AL21" s="174" t="s">
        <v>16</v>
      </c>
      <c r="AM21" s="174" t="s">
        <v>16</v>
      </c>
      <c r="AN21" s="73" t="s">
        <v>50</v>
      </c>
      <c r="AO21" s="223" t="s">
        <v>392</v>
      </c>
      <c r="AP21" s="239" t="s">
        <v>463</v>
      </c>
      <c r="AQ21" s="56" t="s">
        <v>16</v>
      </c>
      <c r="AR21" s="73" t="s">
        <v>182</v>
      </c>
      <c r="AS21" s="174" t="s">
        <v>20</v>
      </c>
      <c r="AT21" s="174" t="s">
        <v>20</v>
      </c>
      <c r="AU21" s="174" t="s">
        <v>20</v>
      </c>
      <c r="AV21" s="174" t="s">
        <v>20</v>
      </c>
      <c r="AW21" s="174" t="s">
        <v>20</v>
      </c>
      <c r="AX21" s="174" t="s">
        <v>20</v>
      </c>
      <c r="AY21" s="174" t="s">
        <v>20</v>
      </c>
      <c r="AZ21" s="174" t="s">
        <v>20</v>
      </c>
      <c r="BA21" s="174" t="s">
        <v>16</v>
      </c>
      <c r="BB21" s="174" t="s">
        <v>16</v>
      </c>
      <c r="BC21" s="174" t="s">
        <v>16</v>
      </c>
      <c r="BD21" s="70" t="s">
        <v>243</v>
      </c>
      <c r="BE21" s="70"/>
    </row>
    <row r="22" spans="1:57" x14ac:dyDescent="0.25">
      <c r="A22" s="217" t="s">
        <v>112</v>
      </c>
      <c r="B22" s="218" t="s">
        <v>54</v>
      </c>
      <c r="C22" s="174" t="s">
        <v>16</v>
      </c>
      <c r="D22" s="225" t="s">
        <v>182</v>
      </c>
      <c r="E22" s="174"/>
      <c r="F22" s="174"/>
      <c r="G22" s="56"/>
      <c r="H22" s="73" t="s">
        <v>182</v>
      </c>
      <c r="I22" s="174" t="s">
        <v>182</v>
      </c>
      <c r="J22" s="174" t="s">
        <v>16</v>
      </c>
      <c r="K22" s="285" t="s">
        <v>16</v>
      </c>
      <c r="L22" s="285" t="s">
        <v>16</v>
      </c>
      <c r="M22" s="285" t="s">
        <v>16</v>
      </c>
      <c r="N22" s="285" t="s">
        <v>16</v>
      </c>
      <c r="O22" s="285" t="s">
        <v>16</v>
      </c>
      <c r="P22" s="285" t="s">
        <v>16</v>
      </c>
      <c r="Q22" s="285" t="s">
        <v>16</v>
      </c>
      <c r="R22" s="174" t="s">
        <v>16</v>
      </c>
      <c r="S22" s="174" t="s">
        <v>182</v>
      </c>
      <c r="T22" s="174" t="s">
        <v>16</v>
      </c>
      <c r="U22" s="174" t="s">
        <v>16</v>
      </c>
      <c r="V22" s="174" t="s">
        <v>16</v>
      </c>
      <c r="W22" s="174" t="s">
        <v>16</v>
      </c>
      <c r="X22" s="56" t="s">
        <v>16</v>
      </c>
      <c r="Y22" s="73" t="s">
        <v>16</v>
      </c>
      <c r="Z22" s="174" t="s">
        <v>16</v>
      </c>
      <c r="AA22" s="56" t="s">
        <v>16</v>
      </c>
      <c r="AB22" s="73" t="s">
        <v>16</v>
      </c>
      <c r="AC22" s="174" t="s">
        <v>16</v>
      </c>
      <c r="AD22" s="174" t="s">
        <v>16</v>
      </c>
      <c r="AE22" s="174" t="s">
        <v>16</v>
      </c>
      <c r="AF22" s="174" t="s">
        <v>16</v>
      </c>
      <c r="AG22" s="174" t="s">
        <v>16</v>
      </c>
      <c r="AH22" s="174" t="s">
        <v>16</v>
      </c>
      <c r="AI22" s="56" t="s">
        <v>16</v>
      </c>
      <c r="AJ22" s="73" t="s">
        <v>16</v>
      </c>
      <c r="AK22" s="174" t="s">
        <v>16</v>
      </c>
      <c r="AL22" s="174" t="s">
        <v>16</v>
      </c>
      <c r="AM22" s="174" t="s">
        <v>16</v>
      </c>
      <c r="AN22" s="73" t="s">
        <v>50</v>
      </c>
      <c r="AO22" s="223" t="s">
        <v>392</v>
      </c>
      <c r="AP22" s="239" t="s">
        <v>463</v>
      </c>
      <c r="AQ22" s="56" t="s">
        <v>16</v>
      </c>
      <c r="AR22" s="73" t="s">
        <v>182</v>
      </c>
      <c r="AS22" s="174" t="s">
        <v>20</v>
      </c>
      <c r="AT22" s="174" t="s">
        <v>20</v>
      </c>
      <c r="AU22" s="174" t="s">
        <v>20</v>
      </c>
      <c r="AV22" s="174" t="s">
        <v>20</v>
      </c>
      <c r="AW22" s="174" t="s">
        <v>20</v>
      </c>
      <c r="AX22" s="174" t="s">
        <v>20</v>
      </c>
      <c r="AY22" s="174" t="s">
        <v>20</v>
      </c>
      <c r="AZ22" s="174" t="s">
        <v>20</v>
      </c>
      <c r="BA22" s="174" t="s">
        <v>16</v>
      </c>
      <c r="BB22" s="174" t="s">
        <v>16</v>
      </c>
      <c r="BC22" s="174" t="s">
        <v>16</v>
      </c>
      <c r="BD22" s="70" t="s">
        <v>243</v>
      </c>
      <c r="BE22" s="70"/>
    </row>
    <row r="23" spans="1:57" x14ac:dyDescent="0.25">
      <c r="A23" s="217" t="s">
        <v>113</v>
      </c>
      <c r="B23" s="218" t="s">
        <v>54</v>
      </c>
      <c r="C23" s="174" t="s">
        <v>16</v>
      </c>
      <c r="D23" s="225" t="s">
        <v>182</v>
      </c>
      <c r="E23" s="174"/>
      <c r="F23" s="174"/>
      <c r="G23" s="56"/>
      <c r="H23" s="73" t="s">
        <v>182</v>
      </c>
      <c r="I23" s="174" t="s">
        <v>16</v>
      </c>
      <c r="J23" s="174" t="s">
        <v>16</v>
      </c>
      <c r="K23" s="285" t="s">
        <v>16</v>
      </c>
      <c r="L23" s="285" t="s">
        <v>16</v>
      </c>
      <c r="M23" s="285" t="s">
        <v>16</v>
      </c>
      <c r="N23" s="285" t="s">
        <v>16</v>
      </c>
      <c r="O23" s="285" t="s">
        <v>16</v>
      </c>
      <c r="P23" s="285" t="s">
        <v>16</v>
      </c>
      <c r="Q23" s="285" t="s">
        <v>16</v>
      </c>
      <c r="R23" s="174" t="s">
        <v>16</v>
      </c>
      <c r="S23" s="174" t="s">
        <v>182</v>
      </c>
      <c r="T23" s="174" t="s">
        <v>182</v>
      </c>
      <c r="U23" s="174" t="s">
        <v>182</v>
      </c>
      <c r="V23" s="174" t="s">
        <v>16</v>
      </c>
      <c r="W23" s="174" t="s">
        <v>16</v>
      </c>
      <c r="X23" s="56" t="s">
        <v>16</v>
      </c>
      <c r="Y23" s="73" t="s">
        <v>16</v>
      </c>
      <c r="Z23" s="174" t="s">
        <v>16</v>
      </c>
      <c r="AA23" s="56" t="s">
        <v>16</v>
      </c>
      <c r="AB23" s="73" t="s">
        <v>16</v>
      </c>
      <c r="AC23" s="174" t="s">
        <v>16</v>
      </c>
      <c r="AD23" s="174" t="s">
        <v>16</v>
      </c>
      <c r="AE23" s="174" t="s">
        <v>16</v>
      </c>
      <c r="AF23" s="174" t="s">
        <v>16</v>
      </c>
      <c r="AG23" s="174" t="s">
        <v>16</v>
      </c>
      <c r="AH23" s="174" t="s">
        <v>16</v>
      </c>
      <c r="AI23" s="56" t="s">
        <v>16</v>
      </c>
      <c r="AJ23" s="73" t="s">
        <v>16</v>
      </c>
      <c r="AK23" s="174" t="s">
        <v>16</v>
      </c>
      <c r="AL23" s="174" t="s">
        <v>16</v>
      </c>
      <c r="AM23" s="174" t="s">
        <v>16</v>
      </c>
      <c r="AN23" s="73" t="s">
        <v>50</v>
      </c>
      <c r="AO23" s="223" t="s">
        <v>392</v>
      </c>
      <c r="AP23" s="239" t="s">
        <v>463</v>
      </c>
      <c r="AQ23" s="56" t="s">
        <v>16</v>
      </c>
      <c r="AR23" s="73" t="s">
        <v>182</v>
      </c>
      <c r="AS23" s="174" t="s">
        <v>20</v>
      </c>
      <c r="AT23" s="174" t="s">
        <v>20</v>
      </c>
      <c r="AU23" s="174" t="s">
        <v>20</v>
      </c>
      <c r="AV23" s="174" t="s">
        <v>20</v>
      </c>
      <c r="AW23" s="174" t="s">
        <v>20</v>
      </c>
      <c r="AX23" s="174" t="s">
        <v>20</v>
      </c>
      <c r="AY23" s="174" t="s">
        <v>20</v>
      </c>
      <c r="AZ23" s="174" t="s">
        <v>20</v>
      </c>
      <c r="BA23" s="174" t="s">
        <v>16</v>
      </c>
      <c r="BB23" s="174" t="s">
        <v>16</v>
      </c>
      <c r="BC23" s="174" t="s">
        <v>16</v>
      </c>
      <c r="BD23" s="70" t="s">
        <v>243</v>
      </c>
      <c r="BE23" s="70"/>
    </row>
    <row r="24" spans="1:57" x14ac:dyDescent="0.25">
      <c r="A24" s="217" t="s">
        <v>114</v>
      </c>
      <c r="B24" s="218" t="s">
        <v>54</v>
      </c>
      <c r="C24" s="174" t="s">
        <v>182</v>
      </c>
      <c r="D24" s="225" t="s">
        <v>182</v>
      </c>
      <c r="E24" s="174">
        <v>683</v>
      </c>
      <c r="F24" s="174">
        <v>1396</v>
      </c>
      <c r="G24" s="56">
        <v>11373</v>
      </c>
      <c r="H24" s="73" t="s">
        <v>182</v>
      </c>
      <c r="I24" s="174" t="s">
        <v>16</v>
      </c>
      <c r="J24" s="174" t="s">
        <v>182</v>
      </c>
      <c r="K24" s="285" t="s">
        <v>16</v>
      </c>
      <c r="L24" s="285" t="s">
        <v>16</v>
      </c>
      <c r="M24" s="285" t="s">
        <v>16</v>
      </c>
      <c r="N24" s="285" t="s">
        <v>16</v>
      </c>
      <c r="O24" s="285" t="s">
        <v>16</v>
      </c>
      <c r="P24" s="285" t="s">
        <v>16</v>
      </c>
      <c r="Q24" s="285" t="s">
        <v>16</v>
      </c>
      <c r="R24" s="174" t="s">
        <v>16</v>
      </c>
      <c r="S24" s="174" t="s">
        <v>16</v>
      </c>
      <c r="T24" s="174" t="s">
        <v>16</v>
      </c>
      <c r="U24" s="174" t="s">
        <v>16</v>
      </c>
      <c r="V24" s="174" t="s">
        <v>16</v>
      </c>
      <c r="W24" s="174" t="s">
        <v>16</v>
      </c>
      <c r="X24" s="56" t="s">
        <v>16</v>
      </c>
      <c r="Y24" s="73" t="s">
        <v>16</v>
      </c>
      <c r="Z24" s="174" t="s">
        <v>16</v>
      </c>
      <c r="AA24" s="56" t="s">
        <v>16</v>
      </c>
      <c r="AB24" s="73" t="s">
        <v>16</v>
      </c>
      <c r="AC24" s="174" t="s">
        <v>16</v>
      </c>
      <c r="AD24" s="174" t="s">
        <v>16</v>
      </c>
      <c r="AE24" s="174" t="s">
        <v>16</v>
      </c>
      <c r="AF24" s="174" t="s">
        <v>16</v>
      </c>
      <c r="AG24" s="174" t="s">
        <v>16</v>
      </c>
      <c r="AH24" s="174" t="s">
        <v>16</v>
      </c>
      <c r="AI24" s="56" t="s">
        <v>16</v>
      </c>
      <c r="AJ24" s="73" t="s">
        <v>182</v>
      </c>
      <c r="AK24" s="174" t="s">
        <v>16</v>
      </c>
      <c r="AL24" s="174" t="s">
        <v>16</v>
      </c>
      <c r="AM24" s="174" t="s">
        <v>16</v>
      </c>
      <c r="AN24" s="73" t="s">
        <v>50</v>
      </c>
      <c r="AO24" s="223" t="s">
        <v>875</v>
      </c>
      <c r="AP24" s="239" t="s">
        <v>509</v>
      </c>
      <c r="AQ24" s="56" t="s">
        <v>16</v>
      </c>
      <c r="AR24" s="73" t="s">
        <v>182</v>
      </c>
      <c r="AS24" s="174" t="s">
        <v>20</v>
      </c>
      <c r="AT24" s="174" t="s">
        <v>20</v>
      </c>
      <c r="AU24" s="174" t="s">
        <v>20</v>
      </c>
      <c r="AV24" s="174" t="s">
        <v>20</v>
      </c>
      <c r="AW24" s="174" t="s">
        <v>20</v>
      </c>
      <c r="AX24" s="174" t="s">
        <v>20</v>
      </c>
      <c r="AY24" s="174" t="s">
        <v>20</v>
      </c>
      <c r="AZ24" s="174" t="s">
        <v>20</v>
      </c>
      <c r="BA24" s="174" t="s">
        <v>16</v>
      </c>
      <c r="BB24" s="174" t="s">
        <v>16</v>
      </c>
      <c r="BC24" s="174" t="s">
        <v>16</v>
      </c>
      <c r="BD24" s="70" t="s">
        <v>874</v>
      </c>
      <c r="BE24" s="70"/>
    </row>
    <row r="25" spans="1:57" x14ac:dyDescent="0.25">
      <c r="A25" s="217" t="s">
        <v>115</v>
      </c>
      <c r="B25" s="218" t="s">
        <v>162</v>
      </c>
      <c r="C25" s="174" t="s">
        <v>182</v>
      </c>
      <c r="D25" s="225" t="s">
        <v>182</v>
      </c>
      <c r="E25" s="174"/>
      <c r="F25" s="174"/>
      <c r="G25" s="56"/>
      <c r="H25" s="73">
        <v>235</v>
      </c>
      <c r="I25" s="174" t="s">
        <v>182</v>
      </c>
      <c r="J25" s="174" t="s">
        <v>16</v>
      </c>
      <c r="K25" s="285" t="s">
        <v>16</v>
      </c>
      <c r="L25" s="285" t="s">
        <v>16</v>
      </c>
      <c r="M25" s="285" t="s">
        <v>16</v>
      </c>
      <c r="N25" s="285" t="s">
        <v>16</v>
      </c>
      <c r="O25" s="285" t="s">
        <v>16</v>
      </c>
      <c r="P25" s="285" t="s">
        <v>16</v>
      </c>
      <c r="Q25" s="285" t="s">
        <v>16</v>
      </c>
      <c r="R25" s="174" t="s">
        <v>16</v>
      </c>
      <c r="S25" s="174" t="s">
        <v>16</v>
      </c>
      <c r="T25" s="174" t="s">
        <v>16</v>
      </c>
      <c r="U25" s="174" t="s">
        <v>16</v>
      </c>
      <c r="V25" s="174" t="s">
        <v>16</v>
      </c>
      <c r="W25" s="174" t="s">
        <v>16</v>
      </c>
      <c r="X25" s="56" t="s">
        <v>16</v>
      </c>
      <c r="Y25" s="73" t="s">
        <v>16</v>
      </c>
      <c r="Z25" s="174" t="s">
        <v>16</v>
      </c>
      <c r="AA25" s="56" t="s">
        <v>16</v>
      </c>
      <c r="AB25" s="73" t="s">
        <v>16</v>
      </c>
      <c r="AC25" s="174" t="s">
        <v>16</v>
      </c>
      <c r="AD25" s="174" t="s">
        <v>16</v>
      </c>
      <c r="AE25" s="174" t="s">
        <v>16</v>
      </c>
      <c r="AF25" s="174" t="s">
        <v>16</v>
      </c>
      <c r="AG25" s="174" t="s">
        <v>16</v>
      </c>
      <c r="AH25" s="174" t="s">
        <v>16</v>
      </c>
      <c r="AI25" s="56" t="s">
        <v>16</v>
      </c>
      <c r="AJ25" s="73" t="s">
        <v>16</v>
      </c>
      <c r="AK25" s="174" t="s">
        <v>16</v>
      </c>
      <c r="AL25" s="174" t="s">
        <v>16</v>
      </c>
      <c r="AM25" s="174" t="s">
        <v>16</v>
      </c>
      <c r="AN25" s="73" t="s">
        <v>859</v>
      </c>
      <c r="AO25" s="106" t="s">
        <v>876</v>
      </c>
      <c r="AP25" s="239" t="s">
        <v>858</v>
      </c>
      <c r="AQ25" s="106" t="s">
        <v>658</v>
      </c>
      <c r="AR25" s="73" t="s">
        <v>182</v>
      </c>
      <c r="AS25" s="174" t="s">
        <v>20</v>
      </c>
      <c r="AT25" s="174" t="s">
        <v>20</v>
      </c>
      <c r="AU25" s="174" t="s">
        <v>20</v>
      </c>
      <c r="AV25" s="174" t="s">
        <v>20</v>
      </c>
      <c r="AW25" s="174" t="s">
        <v>20</v>
      </c>
      <c r="AX25" s="174" t="s">
        <v>20</v>
      </c>
      <c r="AY25" s="174" t="s">
        <v>20</v>
      </c>
      <c r="AZ25" s="174" t="s">
        <v>20</v>
      </c>
      <c r="BA25" s="174" t="s">
        <v>16</v>
      </c>
      <c r="BB25" s="174" t="s">
        <v>16</v>
      </c>
      <c r="BC25" s="174" t="s">
        <v>16</v>
      </c>
      <c r="BD25" s="70" t="s">
        <v>877</v>
      </c>
      <c r="BE25" s="70"/>
    </row>
    <row r="26" spans="1:57" x14ac:dyDescent="0.25">
      <c r="A26" s="217" t="s">
        <v>116</v>
      </c>
      <c r="B26" s="218" t="s">
        <v>54</v>
      </c>
      <c r="C26" s="174" t="s">
        <v>16</v>
      </c>
      <c r="D26" s="225" t="s">
        <v>182</v>
      </c>
      <c r="E26" s="174"/>
      <c r="F26" s="174"/>
      <c r="G26" s="56"/>
      <c r="H26" s="73" t="s">
        <v>16</v>
      </c>
      <c r="I26" s="174" t="s">
        <v>16</v>
      </c>
      <c r="J26" s="174" t="s">
        <v>16</v>
      </c>
      <c r="K26" s="285" t="s">
        <v>16</v>
      </c>
      <c r="L26" s="285" t="s">
        <v>16</v>
      </c>
      <c r="M26" s="285" t="s">
        <v>16</v>
      </c>
      <c r="N26" s="285" t="s">
        <v>16</v>
      </c>
      <c r="O26" s="285" t="s">
        <v>16</v>
      </c>
      <c r="P26" s="285" t="s">
        <v>16</v>
      </c>
      <c r="Q26" s="285" t="s">
        <v>16</v>
      </c>
      <c r="R26" s="174" t="s">
        <v>16</v>
      </c>
      <c r="S26" s="174" t="s">
        <v>16</v>
      </c>
      <c r="T26" s="174" t="s">
        <v>16</v>
      </c>
      <c r="U26" s="174" t="s">
        <v>16</v>
      </c>
      <c r="V26" s="174" t="s">
        <v>16</v>
      </c>
      <c r="W26" s="174" t="s">
        <v>16</v>
      </c>
      <c r="X26" s="56" t="s">
        <v>16</v>
      </c>
      <c r="Y26" s="73" t="s">
        <v>16</v>
      </c>
      <c r="Z26" s="174" t="s">
        <v>16</v>
      </c>
      <c r="AA26" s="56" t="s">
        <v>16</v>
      </c>
      <c r="AB26" s="73" t="s">
        <v>16</v>
      </c>
      <c r="AC26" s="174" t="s">
        <v>16</v>
      </c>
      <c r="AD26" s="174" t="s">
        <v>16</v>
      </c>
      <c r="AE26" s="174" t="s">
        <v>16</v>
      </c>
      <c r="AF26" s="174" t="s">
        <v>16</v>
      </c>
      <c r="AG26" s="174" t="s">
        <v>16</v>
      </c>
      <c r="AH26" s="174" t="s">
        <v>16</v>
      </c>
      <c r="AI26" s="56" t="s">
        <v>16</v>
      </c>
      <c r="AJ26" s="73" t="s">
        <v>16</v>
      </c>
      <c r="AK26" s="174" t="s">
        <v>16</v>
      </c>
      <c r="AL26" s="174" t="s">
        <v>16</v>
      </c>
      <c r="AM26" s="174" t="s">
        <v>16</v>
      </c>
      <c r="AN26" s="73" t="s">
        <v>52</v>
      </c>
      <c r="AO26" s="56" t="s">
        <v>16</v>
      </c>
      <c r="AP26" s="239" t="s">
        <v>497</v>
      </c>
      <c r="AQ26" s="106" t="s">
        <v>411</v>
      </c>
      <c r="AR26" s="73" t="s">
        <v>182</v>
      </c>
      <c r="AS26" s="174" t="s">
        <v>20</v>
      </c>
      <c r="AT26" s="174" t="s">
        <v>20</v>
      </c>
      <c r="AU26" s="174" t="s">
        <v>20</v>
      </c>
      <c r="AV26" s="174" t="s">
        <v>20</v>
      </c>
      <c r="AW26" s="174" t="s">
        <v>20</v>
      </c>
      <c r="AX26" s="174" t="s">
        <v>20</v>
      </c>
      <c r="AY26" s="174" t="s">
        <v>20</v>
      </c>
      <c r="AZ26" s="174" t="s">
        <v>20</v>
      </c>
      <c r="BA26" s="174" t="s">
        <v>16</v>
      </c>
      <c r="BB26" s="174" t="s">
        <v>16</v>
      </c>
      <c r="BC26" s="174" t="s">
        <v>16</v>
      </c>
      <c r="BD26" s="70" t="s">
        <v>369</v>
      </c>
      <c r="BE26" s="70"/>
    </row>
    <row r="27" spans="1:57" x14ac:dyDescent="0.25">
      <c r="A27" s="217" t="s">
        <v>117</v>
      </c>
      <c r="B27" s="218" t="s">
        <v>54</v>
      </c>
      <c r="C27" s="174" t="s">
        <v>16</v>
      </c>
      <c r="D27" s="225" t="s">
        <v>182</v>
      </c>
      <c r="E27" s="173">
        <v>1700</v>
      </c>
      <c r="F27" s="174" t="s">
        <v>20</v>
      </c>
      <c r="G27" s="56" t="s">
        <v>20</v>
      </c>
      <c r="H27" s="73" t="s">
        <v>16</v>
      </c>
      <c r="I27" s="174" t="s">
        <v>16</v>
      </c>
      <c r="J27" s="174" t="s">
        <v>16</v>
      </c>
      <c r="K27" s="285" t="s">
        <v>16</v>
      </c>
      <c r="L27" s="285" t="s">
        <v>16</v>
      </c>
      <c r="M27" s="285" t="s">
        <v>16</v>
      </c>
      <c r="N27" s="285" t="s">
        <v>16</v>
      </c>
      <c r="O27" s="285" t="s">
        <v>16</v>
      </c>
      <c r="P27" s="285" t="s">
        <v>16</v>
      </c>
      <c r="Q27" s="285" t="s">
        <v>16</v>
      </c>
      <c r="R27" s="174" t="s">
        <v>16</v>
      </c>
      <c r="S27" s="174" t="s">
        <v>16</v>
      </c>
      <c r="T27" s="174" t="s">
        <v>16</v>
      </c>
      <c r="U27" s="174" t="s">
        <v>16</v>
      </c>
      <c r="V27" s="174" t="s">
        <v>16</v>
      </c>
      <c r="W27" s="174" t="s">
        <v>16</v>
      </c>
      <c r="X27" s="56" t="s">
        <v>16</v>
      </c>
      <c r="Y27" s="73" t="s">
        <v>16</v>
      </c>
      <c r="Z27" s="174" t="s">
        <v>16</v>
      </c>
      <c r="AA27" s="56" t="s">
        <v>16</v>
      </c>
      <c r="AB27" s="73" t="s">
        <v>16</v>
      </c>
      <c r="AC27" s="174" t="s">
        <v>16</v>
      </c>
      <c r="AD27" s="174" t="s">
        <v>16</v>
      </c>
      <c r="AE27" s="174" t="s">
        <v>16</v>
      </c>
      <c r="AF27" s="174" t="s">
        <v>16</v>
      </c>
      <c r="AG27" s="174" t="s">
        <v>16</v>
      </c>
      <c r="AH27" s="174" t="s">
        <v>16</v>
      </c>
      <c r="AI27" s="56" t="s">
        <v>16</v>
      </c>
      <c r="AJ27" s="73" t="s">
        <v>16</v>
      </c>
      <c r="AK27" s="174" t="s">
        <v>16</v>
      </c>
      <c r="AL27" s="174" t="s">
        <v>16</v>
      </c>
      <c r="AM27" s="174" t="s">
        <v>16</v>
      </c>
      <c r="AN27" s="73" t="s">
        <v>50</v>
      </c>
      <c r="AO27" s="223" t="s">
        <v>392</v>
      </c>
      <c r="AP27" s="239" t="s">
        <v>509</v>
      </c>
      <c r="AQ27" s="56" t="s">
        <v>16</v>
      </c>
      <c r="AR27" s="73" t="s">
        <v>182</v>
      </c>
      <c r="AS27" s="174" t="s">
        <v>20</v>
      </c>
      <c r="AT27" s="174" t="s">
        <v>20</v>
      </c>
      <c r="AU27" s="174" t="s">
        <v>20</v>
      </c>
      <c r="AV27" s="174" t="s">
        <v>20</v>
      </c>
      <c r="AW27" s="174" t="s">
        <v>20</v>
      </c>
      <c r="AX27" s="174" t="s">
        <v>20</v>
      </c>
      <c r="AY27" s="174" t="s">
        <v>20</v>
      </c>
      <c r="AZ27" s="174" t="s">
        <v>20</v>
      </c>
      <c r="BA27" s="174" t="s">
        <v>16</v>
      </c>
      <c r="BB27" s="174" t="s">
        <v>16</v>
      </c>
      <c r="BC27" s="174" t="s">
        <v>16</v>
      </c>
      <c r="BD27" s="70" t="s">
        <v>243</v>
      </c>
      <c r="BE27" s="70"/>
    </row>
    <row r="28" spans="1:57" x14ac:dyDescent="0.25">
      <c r="A28" s="217" t="s">
        <v>118</v>
      </c>
      <c r="B28" s="218" t="s">
        <v>94</v>
      </c>
      <c r="C28" s="174" t="s">
        <v>182</v>
      </c>
      <c r="D28" s="225" t="s">
        <v>182</v>
      </c>
      <c r="E28" s="174"/>
      <c r="F28" s="174"/>
      <c r="G28" s="56"/>
      <c r="H28" s="73" t="s">
        <v>182</v>
      </c>
      <c r="I28" s="174" t="s">
        <v>182</v>
      </c>
      <c r="J28" s="174" t="s">
        <v>16</v>
      </c>
      <c r="K28" s="285" t="s">
        <v>16</v>
      </c>
      <c r="L28" s="285" t="s">
        <v>16</v>
      </c>
      <c r="M28" s="285" t="s">
        <v>16</v>
      </c>
      <c r="N28" s="285" t="s">
        <v>16</v>
      </c>
      <c r="O28" s="285" t="s">
        <v>16</v>
      </c>
      <c r="P28" s="285" t="s">
        <v>16</v>
      </c>
      <c r="Q28" s="285" t="s">
        <v>16</v>
      </c>
      <c r="R28" s="174" t="s">
        <v>16</v>
      </c>
      <c r="S28" s="174" t="s">
        <v>16</v>
      </c>
      <c r="T28" s="174" t="s">
        <v>16</v>
      </c>
      <c r="U28" s="174" t="s">
        <v>16</v>
      </c>
      <c r="V28" s="174" t="s">
        <v>16</v>
      </c>
      <c r="W28" s="174" t="s">
        <v>16</v>
      </c>
      <c r="X28" s="56" t="s">
        <v>16</v>
      </c>
      <c r="Y28" s="73" t="s">
        <v>16</v>
      </c>
      <c r="Z28" s="174" t="s">
        <v>16</v>
      </c>
      <c r="AA28" s="56" t="s">
        <v>16</v>
      </c>
      <c r="AB28" s="73" t="s">
        <v>16</v>
      </c>
      <c r="AC28" s="174" t="s">
        <v>16</v>
      </c>
      <c r="AD28" s="174" t="s">
        <v>16</v>
      </c>
      <c r="AE28" s="174" t="s">
        <v>16</v>
      </c>
      <c r="AF28" s="174" t="s">
        <v>16</v>
      </c>
      <c r="AG28" s="174" t="s">
        <v>16</v>
      </c>
      <c r="AH28" s="174" t="s">
        <v>16</v>
      </c>
      <c r="AI28" s="56" t="s">
        <v>16</v>
      </c>
      <c r="AJ28" s="73" t="s">
        <v>16</v>
      </c>
      <c r="AK28" s="174" t="s">
        <v>16</v>
      </c>
      <c r="AL28" s="174" t="s">
        <v>16</v>
      </c>
      <c r="AM28" s="174" t="s">
        <v>16</v>
      </c>
      <c r="AN28" s="73" t="s">
        <v>859</v>
      </c>
      <c r="AO28" s="223" t="s">
        <v>875</v>
      </c>
      <c r="AP28" s="239" t="s">
        <v>462</v>
      </c>
      <c r="AQ28" s="106" t="s">
        <v>878</v>
      </c>
      <c r="AR28" s="73" t="s">
        <v>182</v>
      </c>
      <c r="AS28" s="174" t="s">
        <v>20</v>
      </c>
      <c r="AT28" s="174" t="s">
        <v>20</v>
      </c>
      <c r="AU28" s="174" t="s">
        <v>20</v>
      </c>
      <c r="AV28" s="174" t="s">
        <v>20</v>
      </c>
      <c r="AW28" s="174" t="s">
        <v>20</v>
      </c>
      <c r="AX28" s="174" t="s">
        <v>20</v>
      </c>
      <c r="AY28" s="174" t="s">
        <v>20</v>
      </c>
      <c r="AZ28" s="174" t="s">
        <v>20</v>
      </c>
      <c r="BA28" s="174" t="s">
        <v>16</v>
      </c>
      <c r="BB28" s="174" t="s">
        <v>16</v>
      </c>
      <c r="BC28" s="174" t="s">
        <v>16</v>
      </c>
      <c r="BD28" s="70" t="s">
        <v>879</v>
      </c>
      <c r="BE28" s="70"/>
    </row>
    <row r="29" spans="1:57" x14ac:dyDescent="0.25">
      <c r="A29" s="217" t="s">
        <v>119</v>
      </c>
      <c r="B29" s="218" t="s">
        <v>54</v>
      </c>
      <c r="C29" s="174" t="s">
        <v>16</v>
      </c>
      <c r="D29" s="225" t="s">
        <v>182</v>
      </c>
      <c r="E29" s="174"/>
      <c r="F29" s="174"/>
      <c r="G29" s="56"/>
      <c r="H29" s="73" t="s">
        <v>182</v>
      </c>
      <c r="I29" s="174" t="s">
        <v>182</v>
      </c>
      <c r="J29" s="174" t="s">
        <v>16</v>
      </c>
      <c r="K29" s="285" t="s">
        <v>16</v>
      </c>
      <c r="L29" s="285" t="s">
        <v>16</v>
      </c>
      <c r="M29" s="285" t="s">
        <v>16</v>
      </c>
      <c r="N29" s="285" t="s">
        <v>16</v>
      </c>
      <c r="O29" s="285" t="s">
        <v>16</v>
      </c>
      <c r="P29" s="285" t="s">
        <v>16</v>
      </c>
      <c r="Q29" s="285" t="s">
        <v>16</v>
      </c>
      <c r="R29" s="174" t="s">
        <v>16</v>
      </c>
      <c r="S29" s="174" t="s">
        <v>182</v>
      </c>
      <c r="T29" s="174" t="s">
        <v>16</v>
      </c>
      <c r="U29" s="174" t="s">
        <v>16</v>
      </c>
      <c r="V29" s="174" t="s">
        <v>16</v>
      </c>
      <c r="W29" s="174" t="s">
        <v>16</v>
      </c>
      <c r="X29" s="56" t="s">
        <v>16</v>
      </c>
      <c r="Y29" s="73" t="s">
        <v>16</v>
      </c>
      <c r="Z29" s="174" t="s">
        <v>16</v>
      </c>
      <c r="AA29" s="56" t="s">
        <v>16</v>
      </c>
      <c r="AB29" s="73" t="s">
        <v>16</v>
      </c>
      <c r="AC29" s="174" t="s">
        <v>16</v>
      </c>
      <c r="AD29" s="174" t="s">
        <v>16</v>
      </c>
      <c r="AE29" s="174" t="s">
        <v>16</v>
      </c>
      <c r="AF29" s="174" t="s">
        <v>16</v>
      </c>
      <c r="AG29" s="174" t="s">
        <v>16</v>
      </c>
      <c r="AH29" s="174" t="s">
        <v>16</v>
      </c>
      <c r="AI29" s="56" t="s">
        <v>16</v>
      </c>
      <c r="AJ29" s="73" t="s">
        <v>182</v>
      </c>
      <c r="AK29" s="174" t="s">
        <v>182</v>
      </c>
      <c r="AL29" s="174" t="s">
        <v>16</v>
      </c>
      <c r="AM29" s="174" t="s">
        <v>16</v>
      </c>
      <c r="AN29" s="73" t="s">
        <v>50</v>
      </c>
      <c r="AO29" s="223" t="s">
        <v>392</v>
      </c>
      <c r="AP29" s="239" t="s">
        <v>509</v>
      </c>
      <c r="AQ29" s="56" t="s">
        <v>16</v>
      </c>
      <c r="AR29" s="73" t="s">
        <v>182</v>
      </c>
      <c r="AS29" s="174" t="s">
        <v>20</v>
      </c>
      <c r="AT29" s="174" t="s">
        <v>20</v>
      </c>
      <c r="AU29" s="174" t="s">
        <v>20</v>
      </c>
      <c r="AV29" s="174" t="s">
        <v>20</v>
      </c>
      <c r="AW29" s="174" t="s">
        <v>20</v>
      </c>
      <c r="AX29" s="174" t="s">
        <v>20</v>
      </c>
      <c r="AY29" s="174" t="s">
        <v>20</v>
      </c>
      <c r="AZ29" s="174" t="s">
        <v>20</v>
      </c>
      <c r="BA29" s="174" t="s">
        <v>16</v>
      </c>
      <c r="BB29" s="174" t="s">
        <v>16</v>
      </c>
      <c r="BC29" s="174" t="s">
        <v>16</v>
      </c>
      <c r="BD29" s="70" t="s">
        <v>243</v>
      </c>
      <c r="BE29" s="70"/>
    </row>
    <row r="30" spans="1:57" x14ac:dyDescent="0.25">
      <c r="A30" s="217" t="s">
        <v>120</v>
      </c>
      <c r="B30" s="218" t="s">
        <v>54</v>
      </c>
      <c r="C30" s="174" t="s">
        <v>16</v>
      </c>
      <c r="D30" s="225" t="s">
        <v>182</v>
      </c>
      <c r="E30" s="173">
        <v>1000</v>
      </c>
      <c r="F30" s="173" t="s">
        <v>20</v>
      </c>
      <c r="G30" s="56" t="s">
        <v>20</v>
      </c>
      <c r="H30" s="73">
        <v>500</v>
      </c>
      <c r="I30" s="174">
        <v>500</v>
      </c>
      <c r="J30" s="174" t="s">
        <v>16</v>
      </c>
      <c r="K30" s="285" t="s">
        <v>16</v>
      </c>
      <c r="L30" s="285" t="s">
        <v>16</v>
      </c>
      <c r="M30" s="285" t="s">
        <v>16</v>
      </c>
      <c r="N30" s="285" t="s">
        <v>16</v>
      </c>
      <c r="O30" s="285" t="s">
        <v>16</v>
      </c>
      <c r="P30" s="285" t="s">
        <v>16</v>
      </c>
      <c r="Q30" s="285" t="s">
        <v>16</v>
      </c>
      <c r="R30" s="174" t="s">
        <v>16</v>
      </c>
      <c r="S30" s="174" t="s">
        <v>16</v>
      </c>
      <c r="T30" s="174" t="s">
        <v>16</v>
      </c>
      <c r="U30" s="174" t="s">
        <v>16</v>
      </c>
      <c r="V30" s="174" t="s">
        <v>16</v>
      </c>
      <c r="W30" s="174" t="s">
        <v>16</v>
      </c>
      <c r="X30" s="56" t="s">
        <v>16</v>
      </c>
      <c r="Y30" s="73" t="s">
        <v>16</v>
      </c>
      <c r="Z30" s="174" t="s">
        <v>16</v>
      </c>
      <c r="AA30" s="56" t="s">
        <v>16</v>
      </c>
      <c r="AB30" s="73" t="s">
        <v>16</v>
      </c>
      <c r="AC30" s="174" t="s">
        <v>16</v>
      </c>
      <c r="AD30" s="174" t="s">
        <v>16</v>
      </c>
      <c r="AE30" s="174" t="s">
        <v>16</v>
      </c>
      <c r="AF30" s="174" t="s">
        <v>16</v>
      </c>
      <c r="AG30" s="174" t="s">
        <v>16</v>
      </c>
      <c r="AH30" s="174" t="s">
        <v>16</v>
      </c>
      <c r="AI30" s="56" t="s">
        <v>16</v>
      </c>
      <c r="AJ30" s="73" t="s">
        <v>182</v>
      </c>
      <c r="AK30" s="174" t="s">
        <v>16</v>
      </c>
      <c r="AL30" s="174" t="s">
        <v>16</v>
      </c>
      <c r="AM30" s="174" t="s">
        <v>16</v>
      </c>
      <c r="AN30" s="73" t="s">
        <v>50</v>
      </c>
      <c r="AO30" s="223" t="s">
        <v>392</v>
      </c>
      <c r="AP30" s="239" t="s">
        <v>509</v>
      </c>
      <c r="AQ30" s="56" t="s">
        <v>16</v>
      </c>
      <c r="AR30" s="73" t="s">
        <v>182</v>
      </c>
      <c r="AS30" s="174" t="s">
        <v>20</v>
      </c>
      <c r="AT30" s="174" t="s">
        <v>20</v>
      </c>
      <c r="AU30" s="174" t="s">
        <v>20</v>
      </c>
      <c r="AV30" s="174" t="s">
        <v>20</v>
      </c>
      <c r="AW30" s="174" t="s">
        <v>20</v>
      </c>
      <c r="AX30" s="174" t="s">
        <v>20</v>
      </c>
      <c r="AY30" s="174" t="s">
        <v>20</v>
      </c>
      <c r="AZ30" s="174" t="s">
        <v>20</v>
      </c>
      <c r="BA30" s="174" t="s">
        <v>16</v>
      </c>
      <c r="BB30" s="174" t="s">
        <v>16</v>
      </c>
      <c r="BC30" s="174" t="s">
        <v>16</v>
      </c>
      <c r="BD30" s="70" t="s">
        <v>243</v>
      </c>
      <c r="BE30" s="70"/>
    </row>
    <row r="31" spans="1:57" x14ac:dyDescent="0.25">
      <c r="A31" s="217" t="s">
        <v>121</v>
      </c>
      <c r="B31" s="218" t="s">
        <v>54</v>
      </c>
      <c r="C31" s="174" t="s">
        <v>182</v>
      </c>
      <c r="D31" s="225" t="s">
        <v>182</v>
      </c>
      <c r="E31" s="174"/>
      <c r="F31" s="174"/>
      <c r="G31" s="56"/>
      <c r="H31" s="73" t="s">
        <v>16</v>
      </c>
      <c r="I31" s="174" t="s">
        <v>16</v>
      </c>
      <c r="J31" s="174" t="s">
        <v>16</v>
      </c>
      <c r="K31" s="285" t="s">
        <v>16</v>
      </c>
      <c r="L31" s="285" t="s">
        <v>16</v>
      </c>
      <c r="M31" s="285" t="s">
        <v>16</v>
      </c>
      <c r="N31" s="285" t="s">
        <v>182</v>
      </c>
      <c r="O31" s="285" t="s">
        <v>16</v>
      </c>
      <c r="P31" s="285" t="s">
        <v>16</v>
      </c>
      <c r="Q31" s="285" t="s">
        <v>16</v>
      </c>
      <c r="R31" s="174" t="s">
        <v>16</v>
      </c>
      <c r="S31" s="174" t="s">
        <v>16</v>
      </c>
      <c r="T31" s="174" t="s">
        <v>16</v>
      </c>
      <c r="U31" s="174" t="s">
        <v>16</v>
      </c>
      <c r="V31" s="174" t="s">
        <v>16</v>
      </c>
      <c r="W31" s="174" t="s">
        <v>16</v>
      </c>
      <c r="X31" s="56" t="s">
        <v>16</v>
      </c>
      <c r="Y31" s="73" t="s">
        <v>16</v>
      </c>
      <c r="Z31" s="174" t="s">
        <v>16</v>
      </c>
      <c r="AA31" s="56" t="s">
        <v>16</v>
      </c>
      <c r="AB31" s="73" t="s">
        <v>16</v>
      </c>
      <c r="AC31" s="174" t="s">
        <v>16</v>
      </c>
      <c r="AD31" s="174" t="s">
        <v>16</v>
      </c>
      <c r="AE31" s="174" t="s">
        <v>182</v>
      </c>
      <c r="AF31" s="174" t="s">
        <v>16</v>
      </c>
      <c r="AG31" s="174" t="s">
        <v>16</v>
      </c>
      <c r="AH31" s="174" t="s">
        <v>16</v>
      </c>
      <c r="AI31" s="56" t="s">
        <v>16</v>
      </c>
      <c r="AJ31" s="73" t="s">
        <v>16</v>
      </c>
      <c r="AK31" s="174" t="s">
        <v>16</v>
      </c>
      <c r="AL31" s="174" t="s">
        <v>16</v>
      </c>
      <c r="AM31" s="174" t="s">
        <v>16</v>
      </c>
      <c r="AN31" s="73" t="s">
        <v>859</v>
      </c>
      <c r="AO31" s="223" t="s">
        <v>419</v>
      </c>
      <c r="AP31" s="239" t="s">
        <v>502</v>
      </c>
      <c r="AQ31" s="106" t="s">
        <v>407</v>
      </c>
      <c r="AR31" s="73" t="s">
        <v>182</v>
      </c>
      <c r="AS31" s="174" t="s">
        <v>20</v>
      </c>
      <c r="AT31" s="174" t="s">
        <v>20</v>
      </c>
      <c r="AU31" s="174" t="s">
        <v>20</v>
      </c>
      <c r="AV31" s="174" t="s">
        <v>20</v>
      </c>
      <c r="AW31" s="174" t="s">
        <v>20</v>
      </c>
      <c r="AX31" s="174" t="s">
        <v>20</v>
      </c>
      <c r="AY31" s="174" t="s">
        <v>20</v>
      </c>
      <c r="AZ31" s="174" t="s">
        <v>20</v>
      </c>
      <c r="BA31" s="174" t="s">
        <v>16</v>
      </c>
      <c r="BB31" s="174" t="s">
        <v>16</v>
      </c>
      <c r="BC31" s="174" t="s">
        <v>16</v>
      </c>
      <c r="BD31" s="70" t="s">
        <v>880</v>
      </c>
      <c r="BE31" s="70"/>
    </row>
    <row r="32" spans="1:57" x14ac:dyDescent="0.25">
      <c r="A32" s="217" t="s">
        <v>122</v>
      </c>
      <c r="B32" s="218" t="s">
        <v>54</v>
      </c>
      <c r="C32" s="174" t="s">
        <v>16</v>
      </c>
      <c r="D32" s="225" t="s">
        <v>182</v>
      </c>
      <c r="E32" s="174" t="s">
        <v>20</v>
      </c>
      <c r="F32" s="174" t="s">
        <v>20</v>
      </c>
      <c r="G32" s="56">
        <v>408</v>
      </c>
      <c r="H32" s="73" t="s">
        <v>16</v>
      </c>
      <c r="I32" s="174" t="s">
        <v>16</v>
      </c>
      <c r="J32" s="174" t="s">
        <v>16</v>
      </c>
      <c r="K32" s="285" t="s">
        <v>16</v>
      </c>
      <c r="L32" s="285" t="s">
        <v>16</v>
      </c>
      <c r="M32" s="285" t="s">
        <v>16</v>
      </c>
      <c r="N32" s="287">
        <v>0.68600000000000005</v>
      </c>
      <c r="O32" s="287">
        <v>0.314</v>
      </c>
      <c r="P32" s="285" t="s">
        <v>16</v>
      </c>
      <c r="Q32" s="285" t="s">
        <v>16</v>
      </c>
      <c r="R32" s="174" t="s">
        <v>16</v>
      </c>
      <c r="S32" s="174" t="s">
        <v>16</v>
      </c>
      <c r="T32" s="174" t="s">
        <v>16</v>
      </c>
      <c r="U32" s="174" t="s">
        <v>16</v>
      </c>
      <c r="V32" s="174" t="s">
        <v>16</v>
      </c>
      <c r="W32" s="174" t="s">
        <v>16</v>
      </c>
      <c r="X32" s="56">
        <v>408</v>
      </c>
      <c r="Y32" s="58">
        <v>0.49299999999999999</v>
      </c>
      <c r="Z32" s="250">
        <v>0.50700000000000001</v>
      </c>
      <c r="AA32" s="56">
        <v>408</v>
      </c>
      <c r="AB32" s="73" t="s">
        <v>16</v>
      </c>
      <c r="AC32" s="174" t="s">
        <v>16</v>
      </c>
      <c r="AD32" s="174" t="s">
        <v>16</v>
      </c>
      <c r="AE32" s="266">
        <v>1</v>
      </c>
      <c r="AF32" s="174" t="s">
        <v>16</v>
      </c>
      <c r="AG32" s="174" t="s">
        <v>16</v>
      </c>
      <c r="AH32" s="174" t="s">
        <v>16</v>
      </c>
      <c r="AI32" s="56">
        <v>408</v>
      </c>
      <c r="AJ32" s="73" t="s">
        <v>16</v>
      </c>
      <c r="AK32" s="174" t="s">
        <v>16</v>
      </c>
      <c r="AL32" s="174" t="s">
        <v>16</v>
      </c>
      <c r="AM32" s="174" t="s">
        <v>16</v>
      </c>
      <c r="AN32" s="73" t="s">
        <v>50</v>
      </c>
      <c r="AO32" s="223" t="s">
        <v>393</v>
      </c>
      <c r="AP32" s="239" t="s">
        <v>498</v>
      </c>
      <c r="AQ32" s="56" t="s">
        <v>16</v>
      </c>
      <c r="AR32" s="73" t="s">
        <v>16</v>
      </c>
      <c r="AS32" s="174" t="s">
        <v>16</v>
      </c>
      <c r="AT32" s="174" t="s">
        <v>16</v>
      </c>
      <c r="AU32" s="174" t="s">
        <v>16</v>
      </c>
      <c r="AV32" s="174" t="s">
        <v>16</v>
      </c>
      <c r="AW32" s="174" t="s">
        <v>16</v>
      </c>
      <c r="AX32" s="174" t="s">
        <v>16</v>
      </c>
      <c r="AY32" s="174" t="s">
        <v>16</v>
      </c>
      <c r="AZ32" s="174" t="s">
        <v>16</v>
      </c>
      <c r="BA32" s="174" t="s">
        <v>16</v>
      </c>
      <c r="BB32" s="174" t="s">
        <v>16</v>
      </c>
      <c r="BC32" s="174" t="s">
        <v>16</v>
      </c>
      <c r="BD32" s="70" t="s">
        <v>369</v>
      </c>
      <c r="BE32" s="70"/>
    </row>
    <row r="33" spans="1:57" x14ac:dyDescent="0.25">
      <c r="A33" s="217" t="s">
        <v>123</v>
      </c>
      <c r="B33" s="218" t="s">
        <v>163</v>
      </c>
      <c r="C33" s="174" t="s">
        <v>16</v>
      </c>
      <c r="D33" s="225" t="s">
        <v>182</v>
      </c>
      <c r="E33" s="174" t="s">
        <v>20</v>
      </c>
      <c r="F33" s="173">
        <v>1565</v>
      </c>
      <c r="G33" s="56" t="s">
        <v>20</v>
      </c>
      <c r="H33" s="73">
        <v>140</v>
      </c>
      <c r="I33" s="173">
        <v>1245</v>
      </c>
      <c r="J33" s="174" t="s">
        <v>16</v>
      </c>
      <c r="K33" s="285" t="s">
        <v>16</v>
      </c>
      <c r="L33" s="285">
        <v>180</v>
      </c>
      <c r="M33" s="285" t="s">
        <v>16</v>
      </c>
      <c r="N33" s="285" t="s">
        <v>16</v>
      </c>
      <c r="O33" s="285" t="s">
        <v>16</v>
      </c>
      <c r="P33" s="285" t="s">
        <v>16</v>
      </c>
      <c r="Q33" s="285" t="s">
        <v>16</v>
      </c>
      <c r="R33" s="174" t="s">
        <v>16</v>
      </c>
      <c r="S33" s="174" t="s">
        <v>16</v>
      </c>
      <c r="T33" s="174" t="s">
        <v>16</v>
      </c>
      <c r="U33" s="174" t="s">
        <v>16</v>
      </c>
      <c r="V33" s="174" t="s">
        <v>16</v>
      </c>
      <c r="W33" s="174" t="s">
        <v>16</v>
      </c>
      <c r="X33" s="55">
        <v>1565</v>
      </c>
      <c r="Y33" s="73" t="s">
        <v>16</v>
      </c>
      <c r="Z33" s="174" t="s">
        <v>16</v>
      </c>
      <c r="AA33" s="56" t="s">
        <v>16</v>
      </c>
      <c r="AB33" s="73" t="s">
        <v>16</v>
      </c>
      <c r="AC33" s="174" t="s">
        <v>16</v>
      </c>
      <c r="AD33" s="174" t="s">
        <v>16</v>
      </c>
      <c r="AE33" s="174" t="s">
        <v>16</v>
      </c>
      <c r="AF33" s="174" t="s">
        <v>16</v>
      </c>
      <c r="AG33" s="174" t="s">
        <v>16</v>
      </c>
      <c r="AH33" s="174" t="s">
        <v>16</v>
      </c>
      <c r="AI33" s="56" t="s">
        <v>16</v>
      </c>
      <c r="AJ33" s="73" t="s">
        <v>16</v>
      </c>
      <c r="AK33" s="174" t="s">
        <v>16</v>
      </c>
      <c r="AL33" s="174" t="s">
        <v>16</v>
      </c>
      <c r="AM33" s="174" t="s">
        <v>16</v>
      </c>
      <c r="AN33" s="73" t="s">
        <v>50</v>
      </c>
      <c r="AO33" s="223" t="s">
        <v>392</v>
      </c>
      <c r="AP33" s="239" t="s">
        <v>504</v>
      </c>
      <c r="AQ33" s="56" t="s">
        <v>16</v>
      </c>
      <c r="AR33" s="73" t="s">
        <v>182</v>
      </c>
      <c r="AS33" s="174" t="s">
        <v>20</v>
      </c>
      <c r="AT33" s="174" t="s">
        <v>20</v>
      </c>
      <c r="AU33" s="174" t="s">
        <v>20</v>
      </c>
      <c r="AV33" s="174" t="s">
        <v>20</v>
      </c>
      <c r="AW33" s="174" t="s">
        <v>20</v>
      </c>
      <c r="AX33" s="174" t="s">
        <v>20</v>
      </c>
      <c r="AY33" s="174" t="s">
        <v>20</v>
      </c>
      <c r="AZ33" s="174" t="s">
        <v>20</v>
      </c>
      <c r="BA33" s="250" t="s">
        <v>16</v>
      </c>
      <c r="BB33" s="250" t="s">
        <v>16</v>
      </c>
      <c r="BC33" s="250" t="s">
        <v>16</v>
      </c>
      <c r="BD33" s="70" t="s">
        <v>243</v>
      </c>
      <c r="BE33" s="70"/>
    </row>
    <row r="34" spans="1:57" x14ac:dyDescent="0.25">
      <c r="A34" s="217" t="s">
        <v>124</v>
      </c>
      <c r="B34" s="218" t="s">
        <v>54</v>
      </c>
      <c r="C34" s="174" t="s">
        <v>182</v>
      </c>
      <c r="D34" s="225" t="s">
        <v>182</v>
      </c>
      <c r="E34" s="174">
        <v>751</v>
      </c>
      <c r="F34" s="174" t="s">
        <v>20</v>
      </c>
      <c r="G34" s="56" t="s">
        <v>20</v>
      </c>
      <c r="H34" s="73" t="s">
        <v>16</v>
      </c>
      <c r="I34" s="174" t="s">
        <v>16</v>
      </c>
      <c r="J34" s="174" t="s">
        <v>16</v>
      </c>
      <c r="K34" s="285" t="s">
        <v>16</v>
      </c>
      <c r="L34" s="285" t="s">
        <v>16</v>
      </c>
      <c r="M34" s="285" t="s">
        <v>16</v>
      </c>
      <c r="N34" s="285" t="s">
        <v>16</v>
      </c>
      <c r="O34" s="285" t="s">
        <v>16</v>
      </c>
      <c r="P34" s="285" t="s">
        <v>16</v>
      </c>
      <c r="Q34" s="285" t="s">
        <v>16</v>
      </c>
      <c r="R34" s="174" t="s">
        <v>16</v>
      </c>
      <c r="S34" s="174" t="s">
        <v>16</v>
      </c>
      <c r="T34" s="174" t="s">
        <v>16</v>
      </c>
      <c r="U34" s="174" t="s">
        <v>16</v>
      </c>
      <c r="V34" s="174" t="s">
        <v>16</v>
      </c>
      <c r="W34" s="174" t="s">
        <v>16</v>
      </c>
      <c r="X34" s="56" t="s">
        <v>16</v>
      </c>
      <c r="Y34" s="73" t="s">
        <v>16</v>
      </c>
      <c r="Z34" s="174" t="s">
        <v>16</v>
      </c>
      <c r="AA34" s="56" t="s">
        <v>16</v>
      </c>
      <c r="AB34" s="73" t="s">
        <v>16</v>
      </c>
      <c r="AC34" s="174" t="s">
        <v>16</v>
      </c>
      <c r="AD34" s="174" t="s">
        <v>16</v>
      </c>
      <c r="AE34" s="174" t="s">
        <v>16</v>
      </c>
      <c r="AF34" s="174" t="s">
        <v>16</v>
      </c>
      <c r="AG34" s="174" t="s">
        <v>16</v>
      </c>
      <c r="AH34" s="174" t="s">
        <v>16</v>
      </c>
      <c r="AI34" s="56" t="s">
        <v>16</v>
      </c>
      <c r="AJ34" s="73" t="s">
        <v>16</v>
      </c>
      <c r="AK34" s="174" t="s">
        <v>16</v>
      </c>
      <c r="AL34" s="174" t="s">
        <v>16</v>
      </c>
      <c r="AM34" s="174" t="s">
        <v>16</v>
      </c>
      <c r="AN34" s="73" t="s">
        <v>885</v>
      </c>
      <c r="AO34" s="223" t="s">
        <v>887</v>
      </c>
      <c r="AP34" s="239" t="s">
        <v>882</v>
      </c>
      <c r="AQ34" s="106" t="s">
        <v>883</v>
      </c>
      <c r="AR34" s="73" t="s">
        <v>182</v>
      </c>
      <c r="AS34" s="174" t="s">
        <v>20</v>
      </c>
      <c r="AT34" s="174" t="s">
        <v>20</v>
      </c>
      <c r="AU34" s="174" t="s">
        <v>20</v>
      </c>
      <c r="AV34" s="174" t="s">
        <v>20</v>
      </c>
      <c r="AW34" s="174" t="s">
        <v>20</v>
      </c>
      <c r="AX34" s="174" t="s">
        <v>20</v>
      </c>
      <c r="AY34" s="174" t="s">
        <v>20</v>
      </c>
      <c r="AZ34" s="174" t="s">
        <v>20</v>
      </c>
      <c r="BA34" s="250" t="s">
        <v>16</v>
      </c>
      <c r="BB34" s="250" t="s">
        <v>16</v>
      </c>
      <c r="BC34" s="250" t="s">
        <v>16</v>
      </c>
      <c r="BD34" s="70" t="s">
        <v>886</v>
      </c>
      <c r="BE34" s="70"/>
    </row>
    <row r="35" spans="1:57" x14ac:dyDescent="0.25">
      <c r="A35" s="217" t="s">
        <v>125</v>
      </c>
      <c r="B35" s="218" t="s">
        <v>54</v>
      </c>
      <c r="C35" s="174" t="s">
        <v>16</v>
      </c>
      <c r="D35" s="225" t="s">
        <v>182</v>
      </c>
      <c r="E35" s="174"/>
      <c r="F35" s="174"/>
      <c r="G35" s="56"/>
      <c r="H35" s="73" t="s">
        <v>182</v>
      </c>
      <c r="I35" s="174" t="s">
        <v>182</v>
      </c>
      <c r="J35" s="174" t="s">
        <v>16</v>
      </c>
      <c r="K35" s="285" t="s">
        <v>16</v>
      </c>
      <c r="L35" s="285" t="s">
        <v>16</v>
      </c>
      <c r="M35" s="285" t="s">
        <v>16</v>
      </c>
      <c r="N35" s="285" t="s">
        <v>16</v>
      </c>
      <c r="O35" s="285" t="s">
        <v>16</v>
      </c>
      <c r="P35" s="285" t="s">
        <v>16</v>
      </c>
      <c r="Q35" s="285" t="s">
        <v>16</v>
      </c>
      <c r="R35" s="174" t="s">
        <v>16</v>
      </c>
      <c r="S35" s="174" t="s">
        <v>182</v>
      </c>
      <c r="T35" s="174" t="s">
        <v>16</v>
      </c>
      <c r="U35" s="174" t="s">
        <v>16</v>
      </c>
      <c r="V35" s="174" t="s">
        <v>16</v>
      </c>
      <c r="W35" s="174" t="s">
        <v>16</v>
      </c>
      <c r="X35" s="56" t="s">
        <v>16</v>
      </c>
      <c r="Y35" s="73" t="s">
        <v>16</v>
      </c>
      <c r="Z35" s="174" t="s">
        <v>16</v>
      </c>
      <c r="AA35" s="56" t="s">
        <v>16</v>
      </c>
      <c r="AB35" s="73" t="s">
        <v>16</v>
      </c>
      <c r="AC35" s="174" t="s">
        <v>16</v>
      </c>
      <c r="AD35" s="174" t="s">
        <v>182</v>
      </c>
      <c r="AE35" s="174" t="s">
        <v>16</v>
      </c>
      <c r="AF35" s="174" t="s">
        <v>16</v>
      </c>
      <c r="AG35" s="174" t="s">
        <v>16</v>
      </c>
      <c r="AH35" s="174" t="s">
        <v>16</v>
      </c>
      <c r="AI35" s="56" t="s">
        <v>16</v>
      </c>
      <c r="AJ35" s="73" t="s">
        <v>16</v>
      </c>
      <c r="AK35" s="174" t="s">
        <v>16</v>
      </c>
      <c r="AL35" s="174" t="s">
        <v>16</v>
      </c>
      <c r="AM35" s="174" t="s">
        <v>16</v>
      </c>
      <c r="AN35" s="73" t="s">
        <v>50</v>
      </c>
      <c r="AO35" s="223" t="s">
        <v>392</v>
      </c>
      <c r="AP35" s="239" t="s">
        <v>509</v>
      </c>
      <c r="AQ35" s="56" t="s">
        <v>16</v>
      </c>
      <c r="AR35" s="73" t="s">
        <v>182</v>
      </c>
      <c r="AS35" s="174" t="s">
        <v>20</v>
      </c>
      <c r="AT35" s="174" t="s">
        <v>20</v>
      </c>
      <c r="AU35" s="174" t="s">
        <v>20</v>
      </c>
      <c r="AV35" s="174" t="s">
        <v>20</v>
      </c>
      <c r="AW35" s="174" t="s">
        <v>20</v>
      </c>
      <c r="AX35" s="174" t="s">
        <v>20</v>
      </c>
      <c r="AY35" s="174" t="s">
        <v>20</v>
      </c>
      <c r="AZ35" s="174" t="s">
        <v>20</v>
      </c>
      <c r="BA35" s="250" t="s">
        <v>16</v>
      </c>
      <c r="BB35" s="250" t="s">
        <v>16</v>
      </c>
      <c r="BC35" s="250" t="s">
        <v>16</v>
      </c>
      <c r="BD35" s="70" t="s">
        <v>243</v>
      </c>
      <c r="BE35" s="70"/>
    </row>
    <row r="36" spans="1:57" x14ac:dyDescent="0.25">
      <c r="A36" s="217" t="s">
        <v>126</v>
      </c>
      <c r="B36" s="218" t="s">
        <v>164</v>
      </c>
      <c r="C36" s="174" t="s">
        <v>182</v>
      </c>
      <c r="D36" s="225" t="s">
        <v>182</v>
      </c>
      <c r="E36" s="174" t="s">
        <v>25</v>
      </c>
      <c r="F36" s="174"/>
      <c r="G36" s="56"/>
      <c r="H36" s="73" t="s">
        <v>182</v>
      </c>
      <c r="I36" s="174" t="s">
        <v>182</v>
      </c>
      <c r="J36" s="174" t="s">
        <v>182</v>
      </c>
      <c r="K36" s="285" t="s">
        <v>16</v>
      </c>
      <c r="L36" s="285" t="s">
        <v>16</v>
      </c>
      <c r="M36" s="285" t="s">
        <v>16</v>
      </c>
      <c r="N36" s="285" t="s">
        <v>16</v>
      </c>
      <c r="O36" s="285" t="s">
        <v>16</v>
      </c>
      <c r="P36" s="285" t="s">
        <v>16</v>
      </c>
      <c r="Q36" s="285" t="s">
        <v>16</v>
      </c>
      <c r="R36" s="174" t="s">
        <v>16</v>
      </c>
      <c r="S36" s="174" t="s">
        <v>16</v>
      </c>
      <c r="T36" s="174" t="s">
        <v>16</v>
      </c>
      <c r="U36" s="174" t="s">
        <v>16</v>
      </c>
      <c r="V36" s="174" t="s">
        <v>16</v>
      </c>
      <c r="W36" s="174" t="s">
        <v>16</v>
      </c>
      <c r="X36" s="56" t="s">
        <v>16</v>
      </c>
      <c r="Y36" s="73" t="s">
        <v>16</v>
      </c>
      <c r="Z36" s="174" t="s">
        <v>16</v>
      </c>
      <c r="AA36" s="56" t="s">
        <v>16</v>
      </c>
      <c r="AB36" s="73" t="s">
        <v>16</v>
      </c>
      <c r="AC36" s="174" t="s">
        <v>16</v>
      </c>
      <c r="AD36" s="174" t="s">
        <v>16</v>
      </c>
      <c r="AE36" s="174" t="s">
        <v>16</v>
      </c>
      <c r="AF36" s="174" t="s">
        <v>16</v>
      </c>
      <c r="AG36" s="174" t="s">
        <v>16</v>
      </c>
      <c r="AH36" s="174" t="s">
        <v>16</v>
      </c>
      <c r="AI36" s="56" t="s">
        <v>16</v>
      </c>
      <c r="AJ36" s="73" t="s">
        <v>16</v>
      </c>
      <c r="AK36" s="174" t="s">
        <v>16</v>
      </c>
      <c r="AL36" s="174" t="s">
        <v>16</v>
      </c>
      <c r="AM36" s="174" t="s">
        <v>16</v>
      </c>
      <c r="AN36" s="73" t="s">
        <v>885</v>
      </c>
      <c r="AO36" s="223" t="s">
        <v>887</v>
      </c>
      <c r="AP36" s="239" t="s">
        <v>888</v>
      </c>
      <c r="AQ36" s="106" t="s">
        <v>658</v>
      </c>
      <c r="AR36" s="73" t="s">
        <v>182</v>
      </c>
      <c r="AS36" s="174" t="s">
        <v>20</v>
      </c>
      <c r="AT36" s="174" t="s">
        <v>20</v>
      </c>
      <c r="AU36" s="174" t="s">
        <v>20</v>
      </c>
      <c r="AV36" s="174" t="s">
        <v>20</v>
      </c>
      <c r="AW36" s="174" t="s">
        <v>20</v>
      </c>
      <c r="AX36" s="174" t="s">
        <v>20</v>
      </c>
      <c r="AY36" s="174" t="s">
        <v>20</v>
      </c>
      <c r="AZ36" s="174" t="s">
        <v>20</v>
      </c>
      <c r="BA36" s="250" t="s">
        <v>16</v>
      </c>
      <c r="BB36" s="250" t="s">
        <v>16</v>
      </c>
      <c r="BC36" s="250" t="s">
        <v>16</v>
      </c>
      <c r="BD36" s="70" t="s">
        <v>877</v>
      </c>
      <c r="BE36" s="70"/>
    </row>
    <row r="37" spans="1:57" x14ac:dyDescent="0.25">
      <c r="A37" s="217" t="s">
        <v>127</v>
      </c>
      <c r="B37" s="218" t="s">
        <v>54</v>
      </c>
      <c r="C37" s="174" t="s">
        <v>182</v>
      </c>
      <c r="D37" s="225" t="s">
        <v>182</v>
      </c>
      <c r="E37" s="173">
        <v>2321</v>
      </c>
      <c r="F37" s="173">
        <v>2321</v>
      </c>
      <c r="G37" s="55">
        <v>2303</v>
      </c>
      <c r="H37" s="72">
        <v>1186</v>
      </c>
      <c r="I37" s="173">
        <v>1135</v>
      </c>
      <c r="J37" s="174" t="s">
        <v>16</v>
      </c>
      <c r="K37" s="285" t="s">
        <v>16</v>
      </c>
      <c r="L37" s="285" t="s">
        <v>16</v>
      </c>
      <c r="M37" s="285" t="s">
        <v>16</v>
      </c>
      <c r="N37" s="285" t="s">
        <v>16</v>
      </c>
      <c r="O37" s="285" t="s">
        <v>16</v>
      </c>
      <c r="P37" s="285" t="s">
        <v>16</v>
      </c>
      <c r="Q37" s="285" t="s">
        <v>16</v>
      </c>
      <c r="R37" s="174" t="s">
        <v>16</v>
      </c>
      <c r="S37" s="174" t="s">
        <v>16</v>
      </c>
      <c r="T37" s="174" t="s">
        <v>16</v>
      </c>
      <c r="U37" s="174" t="s">
        <v>16</v>
      </c>
      <c r="V37" s="174" t="s">
        <v>16</v>
      </c>
      <c r="W37" s="174" t="s">
        <v>16</v>
      </c>
      <c r="X37" s="55">
        <v>2321</v>
      </c>
      <c r="Y37" s="58">
        <f>(0.63*Tabela1[[#This Row],[AD Case]] + 0.61*Tabela1[[#This Row],[AD Control]])/Tabela1[[#This Row],[Total of samples (N)     ]]</f>
        <v>0.62021973287376131</v>
      </c>
      <c r="Z37" s="259">
        <v>0.38</v>
      </c>
      <c r="AA37" s="260">
        <v>2321</v>
      </c>
      <c r="AB37" s="73" t="s">
        <v>16</v>
      </c>
      <c r="AC37" s="174" t="s">
        <v>16</v>
      </c>
      <c r="AD37" s="174" t="s">
        <v>16</v>
      </c>
      <c r="AE37" s="174" t="s">
        <v>16</v>
      </c>
      <c r="AF37" s="174" t="s">
        <v>16</v>
      </c>
      <c r="AG37" s="174" t="s">
        <v>16</v>
      </c>
      <c r="AH37" s="174" t="s">
        <v>16</v>
      </c>
      <c r="AI37" s="56" t="s">
        <v>16</v>
      </c>
      <c r="AJ37" s="73" t="s">
        <v>16</v>
      </c>
      <c r="AK37" s="174" t="s">
        <v>16</v>
      </c>
      <c r="AL37" s="174" t="s">
        <v>16</v>
      </c>
      <c r="AM37" s="174" t="s">
        <v>16</v>
      </c>
      <c r="AN37" s="73" t="s">
        <v>859</v>
      </c>
      <c r="AO37" s="223" t="s">
        <v>875</v>
      </c>
      <c r="AP37" s="239" t="s">
        <v>504</v>
      </c>
      <c r="AQ37" s="106" t="s">
        <v>878</v>
      </c>
      <c r="AR37" s="73" t="s">
        <v>182</v>
      </c>
      <c r="AS37" s="174" t="s">
        <v>20</v>
      </c>
      <c r="AT37" s="174" t="s">
        <v>20</v>
      </c>
      <c r="AU37" s="174" t="s">
        <v>20</v>
      </c>
      <c r="AV37" s="174" t="s">
        <v>20</v>
      </c>
      <c r="AW37" s="174" t="s">
        <v>20</v>
      </c>
      <c r="AX37" s="174" t="s">
        <v>20</v>
      </c>
      <c r="AY37" s="174" t="s">
        <v>20</v>
      </c>
      <c r="AZ37" s="174" t="s">
        <v>20</v>
      </c>
      <c r="BA37" s="250" t="s">
        <v>16</v>
      </c>
      <c r="BB37" s="250" t="s">
        <v>16</v>
      </c>
      <c r="BC37" s="250" t="s">
        <v>16</v>
      </c>
      <c r="BD37" s="70" t="s">
        <v>884</v>
      </c>
      <c r="BE37" s="70"/>
    </row>
    <row r="38" spans="1:57" x14ac:dyDescent="0.25">
      <c r="A38" s="217" t="s">
        <v>30</v>
      </c>
      <c r="B38" s="218" t="s">
        <v>31</v>
      </c>
      <c r="C38" s="174" t="s">
        <v>16</v>
      </c>
      <c r="D38" s="225" t="s">
        <v>16</v>
      </c>
      <c r="E38" s="174" t="s">
        <v>16</v>
      </c>
      <c r="F38" s="174" t="s">
        <v>16</v>
      </c>
      <c r="G38" s="56" t="s">
        <v>16</v>
      </c>
      <c r="H38" s="73" t="s">
        <v>16</v>
      </c>
      <c r="I38" s="174" t="s">
        <v>16</v>
      </c>
      <c r="J38" s="174" t="s">
        <v>16</v>
      </c>
      <c r="K38" s="285" t="s">
        <v>16</v>
      </c>
      <c r="L38" s="285" t="s">
        <v>16</v>
      </c>
      <c r="M38" s="285" t="s">
        <v>16</v>
      </c>
      <c r="N38" s="285" t="s">
        <v>16</v>
      </c>
      <c r="O38" s="285" t="s">
        <v>16</v>
      </c>
      <c r="P38" s="285" t="s">
        <v>16</v>
      </c>
      <c r="Q38" s="285" t="s">
        <v>16</v>
      </c>
      <c r="R38" s="174" t="s">
        <v>16</v>
      </c>
      <c r="S38" s="174" t="s">
        <v>16</v>
      </c>
      <c r="T38" s="174" t="s">
        <v>16</v>
      </c>
      <c r="U38" s="174" t="s">
        <v>16</v>
      </c>
      <c r="V38" s="174" t="s">
        <v>16</v>
      </c>
      <c r="W38" s="174" t="s">
        <v>16</v>
      </c>
      <c r="X38" s="56" t="s">
        <v>16</v>
      </c>
      <c r="Y38" s="73" t="s">
        <v>16</v>
      </c>
      <c r="Z38" s="174" t="s">
        <v>16</v>
      </c>
      <c r="AA38" s="56" t="s">
        <v>16</v>
      </c>
      <c r="AB38" s="73" t="s">
        <v>16</v>
      </c>
      <c r="AC38" s="174" t="s">
        <v>16</v>
      </c>
      <c r="AD38" s="174" t="s">
        <v>16</v>
      </c>
      <c r="AE38" s="174" t="s">
        <v>16</v>
      </c>
      <c r="AF38" s="174" t="s">
        <v>16</v>
      </c>
      <c r="AG38" s="174" t="s">
        <v>16</v>
      </c>
      <c r="AH38" s="174" t="s">
        <v>16</v>
      </c>
      <c r="AI38" s="56" t="s">
        <v>16</v>
      </c>
      <c r="AJ38" s="73" t="s">
        <v>16</v>
      </c>
      <c r="AK38" s="174" t="s">
        <v>16</v>
      </c>
      <c r="AL38" s="174" t="s">
        <v>16</v>
      </c>
      <c r="AM38" s="174" t="s">
        <v>16</v>
      </c>
      <c r="AN38" s="73" t="s">
        <v>16</v>
      </c>
      <c r="AO38" s="56" t="s">
        <v>16</v>
      </c>
      <c r="AP38" s="239" t="s">
        <v>16</v>
      </c>
      <c r="AQ38" s="56" t="s">
        <v>16</v>
      </c>
      <c r="AR38" s="73" t="s">
        <v>16</v>
      </c>
      <c r="AS38" s="174" t="s">
        <v>16</v>
      </c>
      <c r="AT38" s="174" t="s">
        <v>16</v>
      </c>
      <c r="AU38" s="174" t="s">
        <v>16</v>
      </c>
      <c r="AV38" s="174" t="s">
        <v>16</v>
      </c>
      <c r="AW38" s="174" t="s">
        <v>16</v>
      </c>
      <c r="AX38" s="174" t="s">
        <v>16</v>
      </c>
      <c r="AY38" s="174" t="s">
        <v>16</v>
      </c>
      <c r="AZ38" s="174" t="s">
        <v>16</v>
      </c>
      <c r="BA38" s="250" t="s">
        <v>16</v>
      </c>
      <c r="BB38" s="250" t="s">
        <v>16</v>
      </c>
      <c r="BC38" s="174" t="s">
        <v>16</v>
      </c>
      <c r="BD38" s="70" t="s">
        <v>16</v>
      </c>
      <c r="BE38" s="275" t="s">
        <v>548</v>
      </c>
    </row>
    <row r="39" spans="1:57" x14ac:dyDescent="0.25">
      <c r="A39" s="217" t="s">
        <v>32</v>
      </c>
      <c r="B39" s="218" t="s">
        <v>31</v>
      </c>
      <c r="C39" s="174" t="s">
        <v>16</v>
      </c>
      <c r="D39" s="225" t="s">
        <v>16</v>
      </c>
      <c r="E39" s="174" t="s">
        <v>16</v>
      </c>
      <c r="F39" s="174" t="s">
        <v>16</v>
      </c>
      <c r="G39" s="56" t="s">
        <v>16</v>
      </c>
      <c r="H39" s="73" t="s">
        <v>16</v>
      </c>
      <c r="I39" s="174" t="s">
        <v>16</v>
      </c>
      <c r="J39" s="174" t="s">
        <v>16</v>
      </c>
      <c r="K39" s="285" t="s">
        <v>16</v>
      </c>
      <c r="L39" s="285" t="s">
        <v>16</v>
      </c>
      <c r="M39" s="285" t="s">
        <v>16</v>
      </c>
      <c r="N39" s="285" t="s">
        <v>16</v>
      </c>
      <c r="O39" s="285" t="s">
        <v>16</v>
      </c>
      <c r="P39" s="285" t="s">
        <v>16</v>
      </c>
      <c r="Q39" s="285" t="s">
        <v>16</v>
      </c>
      <c r="R39" s="174" t="s">
        <v>16</v>
      </c>
      <c r="S39" s="174" t="s">
        <v>16</v>
      </c>
      <c r="T39" s="174" t="s">
        <v>16</v>
      </c>
      <c r="U39" s="174" t="s">
        <v>16</v>
      </c>
      <c r="V39" s="174" t="s">
        <v>16</v>
      </c>
      <c r="W39" s="174" t="s">
        <v>16</v>
      </c>
      <c r="X39" s="56" t="s">
        <v>16</v>
      </c>
      <c r="Y39" s="73" t="s">
        <v>16</v>
      </c>
      <c r="Z39" s="174" t="s">
        <v>16</v>
      </c>
      <c r="AA39" s="56" t="s">
        <v>16</v>
      </c>
      <c r="AB39" s="73" t="s">
        <v>16</v>
      </c>
      <c r="AC39" s="174" t="s">
        <v>16</v>
      </c>
      <c r="AD39" s="174" t="s">
        <v>16</v>
      </c>
      <c r="AE39" s="174" t="s">
        <v>16</v>
      </c>
      <c r="AF39" s="174" t="s">
        <v>16</v>
      </c>
      <c r="AG39" s="174" t="s">
        <v>16</v>
      </c>
      <c r="AH39" s="174" t="s">
        <v>16</v>
      </c>
      <c r="AI39" s="56" t="s">
        <v>16</v>
      </c>
      <c r="AJ39" s="73" t="s">
        <v>16</v>
      </c>
      <c r="AK39" s="174" t="s">
        <v>16</v>
      </c>
      <c r="AL39" s="174" t="s">
        <v>16</v>
      </c>
      <c r="AM39" s="174" t="s">
        <v>16</v>
      </c>
      <c r="AN39" s="73" t="s">
        <v>16</v>
      </c>
      <c r="AO39" s="56" t="s">
        <v>16</v>
      </c>
      <c r="AP39" s="239" t="s">
        <v>16</v>
      </c>
      <c r="AQ39" s="56" t="s">
        <v>16</v>
      </c>
      <c r="AR39" s="73" t="s">
        <v>16</v>
      </c>
      <c r="AS39" s="174" t="s">
        <v>16</v>
      </c>
      <c r="AT39" s="174" t="s">
        <v>16</v>
      </c>
      <c r="AU39" s="174" t="s">
        <v>16</v>
      </c>
      <c r="AV39" s="174" t="s">
        <v>16</v>
      </c>
      <c r="AW39" s="174" t="s">
        <v>16</v>
      </c>
      <c r="AX39" s="174" t="s">
        <v>16</v>
      </c>
      <c r="AY39" s="174" t="s">
        <v>16</v>
      </c>
      <c r="AZ39" s="174" t="s">
        <v>16</v>
      </c>
      <c r="BA39" s="250" t="s">
        <v>16</v>
      </c>
      <c r="BB39" s="250" t="s">
        <v>16</v>
      </c>
      <c r="BC39" s="174" t="s">
        <v>16</v>
      </c>
      <c r="BD39" s="70" t="s">
        <v>16</v>
      </c>
      <c r="BE39" s="275" t="s">
        <v>548</v>
      </c>
    </row>
    <row r="40" spans="1:57" x14ac:dyDescent="0.25">
      <c r="A40" s="217" t="s">
        <v>33</v>
      </c>
      <c r="B40" s="218" t="s">
        <v>34</v>
      </c>
      <c r="C40" s="174" t="s">
        <v>16</v>
      </c>
      <c r="D40" s="225" t="s">
        <v>16</v>
      </c>
      <c r="E40" s="174" t="s">
        <v>16</v>
      </c>
      <c r="F40" s="174" t="s">
        <v>16</v>
      </c>
      <c r="G40" s="56" t="s">
        <v>16</v>
      </c>
      <c r="H40" s="73" t="s">
        <v>16</v>
      </c>
      <c r="I40" s="174" t="s">
        <v>16</v>
      </c>
      <c r="J40" s="174" t="s">
        <v>16</v>
      </c>
      <c r="K40" s="285" t="s">
        <v>16</v>
      </c>
      <c r="L40" s="285" t="s">
        <v>16</v>
      </c>
      <c r="M40" s="285" t="s">
        <v>16</v>
      </c>
      <c r="N40" s="285" t="s">
        <v>16</v>
      </c>
      <c r="O40" s="285" t="s">
        <v>16</v>
      </c>
      <c r="P40" s="285" t="s">
        <v>16</v>
      </c>
      <c r="Q40" s="285" t="s">
        <v>16</v>
      </c>
      <c r="R40" s="174" t="s">
        <v>16</v>
      </c>
      <c r="S40" s="174" t="s">
        <v>16</v>
      </c>
      <c r="T40" s="174" t="s">
        <v>16</v>
      </c>
      <c r="U40" s="174" t="s">
        <v>16</v>
      </c>
      <c r="V40" s="174" t="s">
        <v>16</v>
      </c>
      <c r="W40" s="174" t="s">
        <v>16</v>
      </c>
      <c r="X40" s="56" t="s">
        <v>16</v>
      </c>
      <c r="Y40" s="73" t="s">
        <v>16</v>
      </c>
      <c r="Z40" s="174" t="s">
        <v>16</v>
      </c>
      <c r="AA40" s="56" t="s">
        <v>16</v>
      </c>
      <c r="AB40" s="73" t="s">
        <v>16</v>
      </c>
      <c r="AC40" s="174" t="s">
        <v>16</v>
      </c>
      <c r="AD40" s="174" t="s">
        <v>16</v>
      </c>
      <c r="AE40" s="174" t="s">
        <v>16</v>
      </c>
      <c r="AF40" s="174" t="s">
        <v>16</v>
      </c>
      <c r="AG40" s="174" t="s">
        <v>16</v>
      </c>
      <c r="AH40" s="174" t="s">
        <v>16</v>
      </c>
      <c r="AI40" s="56" t="s">
        <v>16</v>
      </c>
      <c r="AJ40" s="73" t="s">
        <v>16</v>
      </c>
      <c r="AK40" s="174" t="s">
        <v>16</v>
      </c>
      <c r="AL40" s="174" t="s">
        <v>16</v>
      </c>
      <c r="AM40" s="174" t="s">
        <v>16</v>
      </c>
      <c r="AN40" s="73" t="s">
        <v>16</v>
      </c>
      <c r="AO40" s="56" t="s">
        <v>16</v>
      </c>
      <c r="AP40" s="239" t="s">
        <v>16</v>
      </c>
      <c r="AQ40" s="56" t="s">
        <v>16</v>
      </c>
      <c r="AR40" s="73" t="s">
        <v>16</v>
      </c>
      <c r="AS40" s="174" t="s">
        <v>16</v>
      </c>
      <c r="AT40" s="174" t="s">
        <v>16</v>
      </c>
      <c r="AU40" s="174" t="s">
        <v>16</v>
      </c>
      <c r="AV40" s="174" t="s">
        <v>16</v>
      </c>
      <c r="AW40" s="174" t="s">
        <v>16</v>
      </c>
      <c r="AX40" s="174" t="s">
        <v>16</v>
      </c>
      <c r="AY40" s="174" t="s">
        <v>16</v>
      </c>
      <c r="AZ40" s="174" t="s">
        <v>16</v>
      </c>
      <c r="BA40" s="250" t="s">
        <v>16</v>
      </c>
      <c r="BB40" s="250" t="s">
        <v>16</v>
      </c>
      <c r="BC40" s="174" t="s">
        <v>16</v>
      </c>
      <c r="BD40" s="70" t="s">
        <v>16</v>
      </c>
      <c r="BE40" s="275" t="s">
        <v>549</v>
      </c>
    </row>
    <row r="41" spans="1:57" x14ac:dyDescent="0.25">
      <c r="A41" s="217" t="s">
        <v>35</v>
      </c>
      <c r="B41" s="218" t="s">
        <v>34</v>
      </c>
      <c r="C41" s="174" t="s">
        <v>16</v>
      </c>
      <c r="D41" s="225" t="s">
        <v>16</v>
      </c>
      <c r="E41" s="174" t="s">
        <v>16</v>
      </c>
      <c r="F41" s="174" t="s">
        <v>16</v>
      </c>
      <c r="G41" s="56" t="s">
        <v>16</v>
      </c>
      <c r="H41" s="73" t="s">
        <v>16</v>
      </c>
      <c r="I41" s="174" t="s">
        <v>16</v>
      </c>
      <c r="J41" s="174" t="s">
        <v>16</v>
      </c>
      <c r="K41" s="285" t="s">
        <v>16</v>
      </c>
      <c r="L41" s="285" t="s">
        <v>16</v>
      </c>
      <c r="M41" s="285" t="s">
        <v>16</v>
      </c>
      <c r="N41" s="285" t="s">
        <v>16</v>
      </c>
      <c r="O41" s="285" t="s">
        <v>16</v>
      </c>
      <c r="P41" s="285" t="s">
        <v>16</v>
      </c>
      <c r="Q41" s="285" t="s">
        <v>16</v>
      </c>
      <c r="R41" s="174" t="s">
        <v>16</v>
      </c>
      <c r="S41" s="174" t="s">
        <v>16</v>
      </c>
      <c r="T41" s="174" t="s">
        <v>16</v>
      </c>
      <c r="U41" s="174" t="s">
        <v>16</v>
      </c>
      <c r="V41" s="174" t="s">
        <v>16</v>
      </c>
      <c r="W41" s="174" t="s">
        <v>16</v>
      </c>
      <c r="X41" s="56" t="s">
        <v>16</v>
      </c>
      <c r="Y41" s="73" t="s">
        <v>16</v>
      </c>
      <c r="Z41" s="174" t="s">
        <v>16</v>
      </c>
      <c r="AA41" s="56" t="s">
        <v>16</v>
      </c>
      <c r="AB41" s="73" t="s">
        <v>16</v>
      </c>
      <c r="AC41" s="174" t="s">
        <v>16</v>
      </c>
      <c r="AD41" s="174" t="s">
        <v>16</v>
      </c>
      <c r="AE41" s="174" t="s">
        <v>16</v>
      </c>
      <c r="AF41" s="174" t="s">
        <v>16</v>
      </c>
      <c r="AG41" s="174" t="s">
        <v>16</v>
      </c>
      <c r="AH41" s="174" t="s">
        <v>16</v>
      </c>
      <c r="AI41" s="56" t="s">
        <v>16</v>
      </c>
      <c r="AJ41" s="73" t="s">
        <v>16</v>
      </c>
      <c r="AK41" s="174" t="s">
        <v>16</v>
      </c>
      <c r="AL41" s="174" t="s">
        <v>16</v>
      </c>
      <c r="AM41" s="174" t="s">
        <v>16</v>
      </c>
      <c r="AN41" s="73" t="s">
        <v>16</v>
      </c>
      <c r="AO41" s="56" t="s">
        <v>16</v>
      </c>
      <c r="AP41" s="239" t="s">
        <v>16</v>
      </c>
      <c r="AQ41" s="56" t="s">
        <v>16</v>
      </c>
      <c r="AR41" s="73" t="s">
        <v>16</v>
      </c>
      <c r="AS41" s="174" t="s">
        <v>16</v>
      </c>
      <c r="AT41" s="174" t="s">
        <v>16</v>
      </c>
      <c r="AU41" s="174" t="s">
        <v>16</v>
      </c>
      <c r="AV41" s="174" t="s">
        <v>16</v>
      </c>
      <c r="AW41" s="174" t="s">
        <v>16</v>
      </c>
      <c r="AX41" s="174" t="s">
        <v>16</v>
      </c>
      <c r="AY41" s="174" t="s">
        <v>16</v>
      </c>
      <c r="AZ41" s="174" t="s">
        <v>16</v>
      </c>
      <c r="BA41" s="250" t="s">
        <v>16</v>
      </c>
      <c r="BB41" s="250" t="s">
        <v>16</v>
      </c>
      <c r="BC41" s="174" t="s">
        <v>16</v>
      </c>
      <c r="BD41" s="70" t="s">
        <v>16</v>
      </c>
      <c r="BE41" s="275" t="s">
        <v>549</v>
      </c>
    </row>
    <row r="42" spans="1:57" x14ac:dyDescent="0.25">
      <c r="A42" s="217" t="s">
        <v>36</v>
      </c>
      <c r="B42" s="218" t="s">
        <v>34</v>
      </c>
      <c r="C42" s="174" t="s">
        <v>16</v>
      </c>
      <c r="D42" s="225" t="s">
        <v>16</v>
      </c>
      <c r="E42" s="174" t="s">
        <v>16</v>
      </c>
      <c r="F42" s="174" t="s">
        <v>16</v>
      </c>
      <c r="G42" s="56" t="s">
        <v>16</v>
      </c>
      <c r="H42" s="73" t="s">
        <v>16</v>
      </c>
      <c r="I42" s="174" t="s">
        <v>16</v>
      </c>
      <c r="J42" s="174" t="s">
        <v>16</v>
      </c>
      <c r="K42" s="285" t="s">
        <v>16</v>
      </c>
      <c r="L42" s="285" t="s">
        <v>16</v>
      </c>
      <c r="M42" s="285" t="s">
        <v>16</v>
      </c>
      <c r="N42" s="285" t="s">
        <v>16</v>
      </c>
      <c r="O42" s="285" t="s">
        <v>16</v>
      </c>
      <c r="P42" s="285" t="s">
        <v>16</v>
      </c>
      <c r="Q42" s="285" t="s">
        <v>16</v>
      </c>
      <c r="R42" s="174" t="s">
        <v>16</v>
      </c>
      <c r="S42" s="174" t="s">
        <v>16</v>
      </c>
      <c r="T42" s="174" t="s">
        <v>16</v>
      </c>
      <c r="U42" s="174" t="s">
        <v>16</v>
      </c>
      <c r="V42" s="174" t="s">
        <v>16</v>
      </c>
      <c r="W42" s="174" t="s">
        <v>16</v>
      </c>
      <c r="X42" s="56" t="s">
        <v>16</v>
      </c>
      <c r="Y42" s="73" t="s">
        <v>16</v>
      </c>
      <c r="Z42" s="174" t="s">
        <v>16</v>
      </c>
      <c r="AA42" s="56" t="s">
        <v>16</v>
      </c>
      <c r="AB42" s="73" t="s">
        <v>16</v>
      </c>
      <c r="AC42" s="174" t="s">
        <v>16</v>
      </c>
      <c r="AD42" s="174" t="s">
        <v>16</v>
      </c>
      <c r="AE42" s="174" t="s">
        <v>16</v>
      </c>
      <c r="AF42" s="174" t="s">
        <v>16</v>
      </c>
      <c r="AG42" s="174" t="s">
        <v>16</v>
      </c>
      <c r="AH42" s="174" t="s">
        <v>16</v>
      </c>
      <c r="AI42" s="56" t="s">
        <v>16</v>
      </c>
      <c r="AJ42" s="73" t="s">
        <v>16</v>
      </c>
      <c r="AK42" s="174" t="s">
        <v>16</v>
      </c>
      <c r="AL42" s="174" t="s">
        <v>16</v>
      </c>
      <c r="AM42" s="174" t="s">
        <v>16</v>
      </c>
      <c r="AN42" s="73" t="s">
        <v>16</v>
      </c>
      <c r="AO42" s="56" t="s">
        <v>16</v>
      </c>
      <c r="AP42" s="239" t="s">
        <v>16</v>
      </c>
      <c r="AQ42" s="56" t="s">
        <v>16</v>
      </c>
      <c r="AR42" s="73" t="s">
        <v>16</v>
      </c>
      <c r="AS42" s="174" t="s">
        <v>16</v>
      </c>
      <c r="AT42" s="174" t="s">
        <v>16</v>
      </c>
      <c r="AU42" s="174" t="s">
        <v>16</v>
      </c>
      <c r="AV42" s="174" t="s">
        <v>16</v>
      </c>
      <c r="AW42" s="174" t="s">
        <v>16</v>
      </c>
      <c r="AX42" s="174" t="s">
        <v>16</v>
      </c>
      <c r="AY42" s="174" t="s">
        <v>16</v>
      </c>
      <c r="AZ42" s="174" t="s">
        <v>16</v>
      </c>
      <c r="BA42" s="250" t="s">
        <v>16</v>
      </c>
      <c r="BB42" s="250" t="s">
        <v>16</v>
      </c>
      <c r="BC42" s="174" t="s">
        <v>16</v>
      </c>
      <c r="BD42" s="70" t="s">
        <v>16</v>
      </c>
      <c r="BE42" s="275" t="s">
        <v>549</v>
      </c>
    </row>
    <row r="43" spans="1:57" x14ac:dyDescent="0.25">
      <c r="A43" s="217" t="s">
        <v>37</v>
      </c>
      <c r="B43" s="218" t="s">
        <v>38</v>
      </c>
      <c r="C43" s="174" t="s">
        <v>16</v>
      </c>
      <c r="D43" s="225" t="s">
        <v>182</v>
      </c>
      <c r="E43" s="174" t="s">
        <v>20</v>
      </c>
      <c r="F43" s="174" t="s">
        <v>20</v>
      </c>
      <c r="G43" s="56" t="s">
        <v>20</v>
      </c>
      <c r="H43" s="73" t="s">
        <v>182</v>
      </c>
      <c r="I43" s="174" t="s">
        <v>16</v>
      </c>
      <c r="J43" s="174" t="s">
        <v>182</v>
      </c>
      <c r="K43" s="285" t="s">
        <v>16</v>
      </c>
      <c r="L43" s="285" t="s">
        <v>16</v>
      </c>
      <c r="M43" s="285" t="s">
        <v>16</v>
      </c>
      <c r="N43" s="285" t="s">
        <v>16</v>
      </c>
      <c r="O43" s="285" t="s">
        <v>16</v>
      </c>
      <c r="P43" s="285" t="s">
        <v>16</v>
      </c>
      <c r="Q43" s="285" t="s">
        <v>16</v>
      </c>
      <c r="R43" s="174" t="s">
        <v>16</v>
      </c>
      <c r="S43" s="174" t="s">
        <v>16</v>
      </c>
      <c r="T43" s="174" t="s">
        <v>16</v>
      </c>
      <c r="U43" s="174" t="s">
        <v>16</v>
      </c>
      <c r="V43" s="174" t="s">
        <v>16</v>
      </c>
      <c r="W43" s="174" t="s">
        <v>16</v>
      </c>
      <c r="X43" s="56" t="s">
        <v>16</v>
      </c>
      <c r="Y43" s="73" t="s">
        <v>16</v>
      </c>
      <c r="Z43" s="174" t="s">
        <v>16</v>
      </c>
      <c r="AA43" s="56" t="s">
        <v>16</v>
      </c>
      <c r="AB43" s="73" t="s">
        <v>16</v>
      </c>
      <c r="AC43" s="174" t="s">
        <v>16</v>
      </c>
      <c r="AD43" s="174" t="s">
        <v>16</v>
      </c>
      <c r="AE43" s="174" t="s">
        <v>16</v>
      </c>
      <c r="AF43" s="174" t="s">
        <v>16</v>
      </c>
      <c r="AG43" s="174" t="s">
        <v>16</v>
      </c>
      <c r="AH43" s="174" t="s">
        <v>16</v>
      </c>
      <c r="AI43" s="56" t="s">
        <v>16</v>
      </c>
      <c r="AJ43" s="73" t="s">
        <v>16</v>
      </c>
      <c r="AK43" s="174" t="s">
        <v>16</v>
      </c>
      <c r="AL43" s="174" t="s">
        <v>16</v>
      </c>
      <c r="AM43" s="174" t="s">
        <v>16</v>
      </c>
      <c r="AN43" s="73" t="s">
        <v>52</v>
      </c>
      <c r="AO43" s="106" t="s">
        <v>393</v>
      </c>
      <c r="AP43" s="239" t="s">
        <v>480</v>
      </c>
      <c r="AQ43" s="106" t="s">
        <v>423</v>
      </c>
      <c r="AR43" s="73" t="s">
        <v>182</v>
      </c>
      <c r="AS43" s="174" t="s">
        <v>20</v>
      </c>
      <c r="AT43" s="174" t="s">
        <v>20</v>
      </c>
      <c r="AU43" s="174" t="s">
        <v>20</v>
      </c>
      <c r="AV43" s="174" t="s">
        <v>20</v>
      </c>
      <c r="AW43" s="174" t="s">
        <v>20</v>
      </c>
      <c r="AX43" s="174" t="s">
        <v>20</v>
      </c>
      <c r="AY43" s="174" t="s">
        <v>20</v>
      </c>
      <c r="AZ43" s="174" t="s">
        <v>20</v>
      </c>
      <c r="BA43" s="174" t="s">
        <v>20</v>
      </c>
      <c r="BB43" s="174" t="s">
        <v>20</v>
      </c>
      <c r="BC43" s="174" t="s">
        <v>16</v>
      </c>
      <c r="BD43" s="70" t="s">
        <v>369</v>
      </c>
      <c r="BE43" s="275" t="s">
        <v>548</v>
      </c>
    </row>
    <row r="44" spans="1:57" x14ac:dyDescent="0.25">
      <c r="A44" s="224" t="s">
        <v>39</v>
      </c>
      <c r="B44" s="218" t="s">
        <v>563</v>
      </c>
      <c r="C44" s="174" t="s">
        <v>16</v>
      </c>
      <c r="D44" s="225" t="s">
        <v>16</v>
      </c>
      <c r="E44" s="173">
        <v>7409</v>
      </c>
      <c r="F44" s="173">
        <v>7409</v>
      </c>
      <c r="G44" s="55">
        <v>7409</v>
      </c>
      <c r="H44" s="72">
        <v>4120</v>
      </c>
      <c r="I44" s="173">
        <v>3289</v>
      </c>
      <c r="J44" s="174" t="s">
        <v>16</v>
      </c>
      <c r="K44" s="285" t="s">
        <v>16</v>
      </c>
      <c r="L44" s="285" t="s">
        <v>16</v>
      </c>
      <c r="M44" s="285" t="s">
        <v>16</v>
      </c>
      <c r="N44" s="285" t="s">
        <v>16</v>
      </c>
      <c r="O44" s="285" t="s">
        <v>16</v>
      </c>
      <c r="P44" s="285" t="s">
        <v>16</v>
      </c>
      <c r="Q44" s="285" t="s">
        <v>16</v>
      </c>
      <c r="R44" s="174" t="s">
        <v>16</v>
      </c>
      <c r="S44" s="174" t="s">
        <v>16</v>
      </c>
      <c r="T44" s="174" t="s">
        <v>16</v>
      </c>
      <c r="U44" s="174" t="s">
        <v>16</v>
      </c>
      <c r="V44" s="174" t="s">
        <v>16</v>
      </c>
      <c r="W44" s="174" t="s">
        <v>16</v>
      </c>
      <c r="X44" s="56">
        <f>SUM(Tabela1[[#This Row],[AD Case]:[AD Control]])</f>
        <v>7409</v>
      </c>
      <c r="Y44" s="73" t="s">
        <v>16</v>
      </c>
      <c r="Z44" s="174" t="s">
        <v>16</v>
      </c>
      <c r="AA44" s="56" t="s">
        <v>16</v>
      </c>
      <c r="AB44" s="73" t="s">
        <v>16</v>
      </c>
      <c r="AC44" s="174" t="s">
        <v>16</v>
      </c>
      <c r="AD44" s="174" t="s">
        <v>16</v>
      </c>
      <c r="AE44" s="174" t="s">
        <v>16</v>
      </c>
      <c r="AF44" s="174" t="s">
        <v>16</v>
      </c>
      <c r="AG44" s="174" t="s">
        <v>16</v>
      </c>
      <c r="AH44" s="174" t="s">
        <v>16</v>
      </c>
      <c r="AI44" s="56" t="s">
        <v>16</v>
      </c>
      <c r="AJ44" s="73" t="s">
        <v>16</v>
      </c>
      <c r="AK44" s="174" t="s">
        <v>16</v>
      </c>
      <c r="AL44" s="174" t="s">
        <v>16</v>
      </c>
      <c r="AM44" s="174" t="s">
        <v>16</v>
      </c>
      <c r="AN44" s="73" t="s">
        <v>11</v>
      </c>
      <c r="AO44" s="223" t="s">
        <v>550</v>
      </c>
      <c r="AP44" s="239" t="s">
        <v>551</v>
      </c>
      <c r="AQ44" s="56" t="s">
        <v>20</v>
      </c>
      <c r="AR44" s="73" t="s">
        <v>182</v>
      </c>
      <c r="AS44" s="174" t="s">
        <v>20</v>
      </c>
      <c r="AT44" s="174" t="s">
        <v>20</v>
      </c>
      <c r="AU44" s="174" t="s">
        <v>20</v>
      </c>
      <c r="AV44" s="174" t="s">
        <v>20</v>
      </c>
      <c r="AW44" s="174" t="s">
        <v>20</v>
      </c>
      <c r="AX44" s="174" t="s">
        <v>20</v>
      </c>
      <c r="AY44" s="174" t="s">
        <v>20</v>
      </c>
      <c r="AZ44" s="174" t="s">
        <v>20</v>
      </c>
      <c r="BA44" s="250">
        <v>0.40100000000000002</v>
      </c>
      <c r="BB44" s="250">
        <v>0.214</v>
      </c>
      <c r="BC44" s="174" t="s">
        <v>16</v>
      </c>
      <c r="BD44" s="70" t="s">
        <v>40</v>
      </c>
      <c r="BE44" s="70"/>
    </row>
    <row r="45" spans="1:57" x14ac:dyDescent="0.25">
      <c r="A45" s="217" t="s">
        <v>41</v>
      </c>
      <c r="B45" s="218" t="s">
        <v>562</v>
      </c>
      <c r="C45" s="174" t="s">
        <v>16</v>
      </c>
      <c r="D45" s="225" t="s">
        <v>16</v>
      </c>
      <c r="E45" s="174">
        <v>825</v>
      </c>
      <c r="F45" s="174">
        <v>825</v>
      </c>
      <c r="G45" s="56">
        <v>801</v>
      </c>
      <c r="H45" s="73" t="s">
        <v>16</v>
      </c>
      <c r="I45" s="174" t="s">
        <v>16</v>
      </c>
      <c r="J45" s="174" t="s">
        <v>16</v>
      </c>
      <c r="K45" s="285" t="s">
        <v>16</v>
      </c>
      <c r="L45" s="285" t="s">
        <v>16</v>
      </c>
      <c r="M45" s="285" t="s">
        <v>16</v>
      </c>
      <c r="N45" s="285" t="s">
        <v>16</v>
      </c>
      <c r="O45" s="285" t="s">
        <v>16</v>
      </c>
      <c r="P45" s="285" t="s">
        <v>16</v>
      </c>
      <c r="Q45" s="285" t="s">
        <v>16</v>
      </c>
      <c r="R45" s="174" t="s">
        <v>16</v>
      </c>
      <c r="S45" s="174" t="s">
        <v>16</v>
      </c>
      <c r="T45" s="174" t="s">
        <v>16</v>
      </c>
      <c r="U45" s="174" t="s">
        <v>16</v>
      </c>
      <c r="V45" s="174" t="s">
        <v>16</v>
      </c>
      <c r="W45" s="174" t="s">
        <v>16</v>
      </c>
      <c r="X45" s="56" t="s">
        <v>16</v>
      </c>
      <c r="Y45" s="73">
        <v>450</v>
      </c>
      <c r="Z45" s="174">
        <v>375</v>
      </c>
      <c r="AA45" s="56">
        <f>SUM(Tabela1[[#This Row],[Nº of females]:[Nº of males]])</f>
        <v>825</v>
      </c>
      <c r="AB45" s="73" t="s">
        <v>16</v>
      </c>
      <c r="AC45" s="174" t="s">
        <v>16</v>
      </c>
      <c r="AD45" s="174" t="s">
        <v>16</v>
      </c>
      <c r="AE45" s="174" t="s">
        <v>16</v>
      </c>
      <c r="AF45" s="174" t="s">
        <v>16</v>
      </c>
      <c r="AG45" s="174" t="s">
        <v>16</v>
      </c>
      <c r="AH45" s="174" t="s">
        <v>16</v>
      </c>
      <c r="AI45" s="56" t="s">
        <v>16</v>
      </c>
      <c r="AJ45" s="73" t="s">
        <v>16</v>
      </c>
      <c r="AK45" s="174" t="s">
        <v>16</v>
      </c>
      <c r="AL45" s="174" t="s">
        <v>16</v>
      </c>
      <c r="AM45" s="174" t="s">
        <v>16</v>
      </c>
      <c r="AN45" s="73" t="s">
        <v>11</v>
      </c>
      <c r="AO45" s="223" t="s">
        <v>554</v>
      </c>
      <c r="AP45" s="239" t="s">
        <v>555</v>
      </c>
      <c r="AQ45" s="56" t="s">
        <v>20</v>
      </c>
      <c r="AR45" s="73" t="s">
        <v>16</v>
      </c>
      <c r="AS45" s="174" t="s">
        <v>16</v>
      </c>
      <c r="AT45" s="174" t="s">
        <v>16</v>
      </c>
      <c r="AU45" s="174" t="s">
        <v>16</v>
      </c>
      <c r="AV45" s="174" t="s">
        <v>16</v>
      </c>
      <c r="AW45" s="174" t="s">
        <v>16</v>
      </c>
      <c r="AX45" s="174" t="s">
        <v>16</v>
      </c>
      <c r="AY45" s="174" t="s">
        <v>16</v>
      </c>
      <c r="AZ45" s="174" t="s">
        <v>16</v>
      </c>
      <c r="BA45" s="174" t="s">
        <v>16</v>
      </c>
      <c r="BB45" s="174" t="s">
        <v>16</v>
      </c>
      <c r="BC45" s="174" t="s">
        <v>16</v>
      </c>
      <c r="BD45" s="70" t="s">
        <v>40</v>
      </c>
      <c r="BE45" s="70"/>
    </row>
    <row r="46" spans="1:57" x14ac:dyDescent="0.25">
      <c r="A46" s="217" t="s">
        <v>42</v>
      </c>
      <c r="B46" s="218" t="s">
        <v>561</v>
      </c>
      <c r="C46" s="174" t="s">
        <v>16</v>
      </c>
      <c r="D46" s="225" t="s">
        <v>16</v>
      </c>
      <c r="E46" s="173">
        <v>4553</v>
      </c>
      <c r="F46" s="173">
        <v>4553</v>
      </c>
      <c r="G46" s="55" t="s">
        <v>558</v>
      </c>
      <c r="H46" s="72">
        <v>2135</v>
      </c>
      <c r="I46" s="173">
        <v>6858</v>
      </c>
      <c r="J46" s="174" t="s">
        <v>16</v>
      </c>
      <c r="K46" s="285" t="s">
        <v>16</v>
      </c>
      <c r="L46" s="285">
        <v>758</v>
      </c>
      <c r="M46" s="285" t="s">
        <v>16</v>
      </c>
      <c r="N46" s="285" t="s">
        <v>16</v>
      </c>
      <c r="O46" s="285" t="s">
        <v>16</v>
      </c>
      <c r="P46" s="285" t="s">
        <v>16</v>
      </c>
      <c r="Q46" s="285" t="s">
        <v>16</v>
      </c>
      <c r="R46" s="174" t="s">
        <v>16</v>
      </c>
      <c r="S46" s="174" t="s">
        <v>16</v>
      </c>
      <c r="T46" s="174" t="s">
        <v>16</v>
      </c>
      <c r="U46" s="174" t="s">
        <v>16</v>
      </c>
      <c r="V46" s="174" t="s">
        <v>16</v>
      </c>
      <c r="W46" s="174" t="s">
        <v>16</v>
      </c>
      <c r="X46" s="56">
        <f>SUM(Tabela1[[#This Row],[MCI Case]],Tabela1[[#This Row],[AD Case]:[AD Control]])</f>
        <v>9751</v>
      </c>
      <c r="Y46" s="261">
        <f>1737+869</f>
        <v>2606</v>
      </c>
      <c r="Z46" s="262">
        <f>2893+1660-Tabela1[[#This Row],[Nº of females]]</f>
        <v>1947</v>
      </c>
      <c r="AA46" s="56">
        <f>SUM(Tabela1[[#This Row],[Nº of females]:[Nº of males]])</f>
        <v>4553</v>
      </c>
      <c r="AB46" s="73" t="s">
        <v>16</v>
      </c>
      <c r="AC46" s="174" t="s">
        <v>16</v>
      </c>
      <c r="AD46" s="174" t="s">
        <v>16</v>
      </c>
      <c r="AE46" s="174" t="s">
        <v>560</v>
      </c>
      <c r="AF46" s="174" t="s">
        <v>16</v>
      </c>
      <c r="AG46" s="174" t="s">
        <v>16</v>
      </c>
      <c r="AH46" s="174" t="s">
        <v>16</v>
      </c>
      <c r="AI46" s="56" t="s">
        <v>16</v>
      </c>
      <c r="AJ46" s="73" t="s">
        <v>16</v>
      </c>
      <c r="AK46" s="174" t="s">
        <v>16</v>
      </c>
      <c r="AL46" s="174" t="s">
        <v>16</v>
      </c>
      <c r="AM46" s="174" t="s">
        <v>16</v>
      </c>
      <c r="AN46" s="73" t="s">
        <v>11</v>
      </c>
      <c r="AO46" s="223" t="s">
        <v>559</v>
      </c>
      <c r="AP46" s="239" t="s">
        <v>556</v>
      </c>
      <c r="AQ46" s="56" t="s">
        <v>20</v>
      </c>
      <c r="AR46" s="73" t="s">
        <v>182</v>
      </c>
      <c r="AS46" s="174" t="s">
        <v>20</v>
      </c>
      <c r="AT46" s="174" t="s">
        <v>20</v>
      </c>
      <c r="AU46" s="174" t="s">
        <v>20</v>
      </c>
      <c r="AV46" s="174" t="s">
        <v>20</v>
      </c>
      <c r="AW46" s="174" t="s">
        <v>20</v>
      </c>
      <c r="AX46" s="174" t="s">
        <v>20</v>
      </c>
      <c r="AY46" s="174" t="s">
        <v>20</v>
      </c>
      <c r="AZ46" s="174" t="s">
        <v>20</v>
      </c>
      <c r="BA46" s="174" t="s">
        <v>20</v>
      </c>
      <c r="BB46" s="174" t="s">
        <v>20</v>
      </c>
      <c r="BC46" s="174" t="s">
        <v>16</v>
      </c>
      <c r="BD46" s="70" t="s">
        <v>40</v>
      </c>
      <c r="BE46" s="70"/>
    </row>
    <row r="47" spans="1:57" x14ac:dyDescent="0.25">
      <c r="A47" s="217" t="s">
        <v>43</v>
      </c>
      <c r="B47" s="221" t="s">
        <v>20</v>
      </c>
      <c r="C47" s="219"/>
      <c r="D47" s="225" t="s">
        <v>16</v>
      </c>
      <c r="E47" s="219" t="s">
        <v>16</v>
      </c>
      <c r="F47" s="219" t="s">
        <v>16</v>
      </c>
      <c r="G47" s="225" t="s">
        <v>16</v>
      </c>
      <c r="H47" s="240" t="s">
        <v>16</v>
      </c>
      <c r="I47" s="219" t="s">
        <v>16</v>
      </c>
      <c r="J47" s="219" t="s">
        <v>16</v>
      </c>
      <c r="K47" s="229" t="s">
        <v>16</v>
      </c>
      <c r="L47" s="229" t="s">
        <v>16</v>
      </c>
      <c r="M47" s="285" t="s">
        <v>16</v>
      </c>
      <c r="N47" s="229" t="s">
        <v>16</v>
      </c>
      <c r="O47" s="229" t="s">
        <v>16</v>
      </c>
      <c r="P47" s="229" t="s">
        <v>16</v>
      </c>
      <c r="Q47" s="229" t="s">
        <v>16</v>
      </c>
      <c r="R47" s="219" t="s">
        <v>16</v>
      </c>
      <c r="S47" s="219" t="s">
        <v>16</v>
      </c>
      <c r="T47" s="219" t="s">
        <v>16</v>
      </c>
      <c r="U47" s="219" t="s">
        <v>16</v>
      </c>
      <c r="V47" s="219" t="s">
        <v>16</v>
      </c>
      <c r="W47" s="219" t="s">
        <v>16</v>
      </c>
      <c r="X47" s="225" t="s">
        <v>16</v>
      </c>
      <c r="Y47" s="240" t="s">
        <v>16</v>
      </c>
      <c r="Z47" s="219" t="s">
        <v>16</v>
      </c>
      <c r="AA47" s="225" t="s">
        <v>16</v>
      </c>
      <c r="AB47" s="240" t="s">
        <v>16</v>
      </c>
      <c r="AC47" s="219" t="s">
        <v>16</v>
      </c>
      <c r="AD47" s="219" t="s">
        <v>16</v>
      </c>
      <c r="AE47" s="219" t="s">
        <v>16</v>
      </c>
      <c r="AF47" s="219" t="s">
        <v>16</v>
      </c>
      <c r="AG47" s="219" t="s">
        <v>16</v>
      </c>
      <c r="AH47" s="219" t="s">
        <v>16</v>
      </c>
      <c r="AI47" s="225" t="s">
        <v>16</v>
      </c>
      <c r="AJ47" s="240" t="s">
        <v>16</v>
      </c>
      <c r="AK47" s="219" t="s">
        <v>16</v>
      </c>
      <c r="AL47" s="219" t="s">
        <v>16</v>
      </c>
      <c r="AM47" s="219" t="s">
        <v>16</v>
      </c>
      <c r="AN47" s="240" t="s">
        <v>16</v>
      </c>
      <c r="AO47" s="225" t="s">
        <v>16</v>
      </c>
      <c r="AP47" s="288" t="s">
        <v>16</v>
      </c>
      <c r="AQ47" s="225" t="s">
        <v>16</v>
      </c>
      <c r="AR47" s="240" t="s">
        <v>16</v>
      </c>
      <c r="AS47" s="219" t="s">
        <v>16</v>
      </c>
      <c r="AT47" s="219" t="s">
        <v>16</v>
      </c>
      <c r="AU47" s="219" t="s">
        <v>16</v>
      </c>
      <c r="AV47" s="219" t="s">
        <v>16</v>
      </c>
      <c r="AW47" s="219" t="s">
        <v>16</v>
      </c>
      <c r="AX47" s="219" t="s">
        <v>16</v>
      </c>
      <c r="AY47" s="219" t="s">
        <v>16</v>
      </c>
      <c r="AZ47" s="219" t="s">
        <v>16</v>
      </c>
      <c r="BA47" s="219" t="s">
        <v>16</v>
      </c>
      <c r="BB47" s="219" t="s">
        <v>16</v>
      </c>
      <c r="BC47" s="219" t="s">
        <v>16</v>
      </c>
      <c r="BD47" s="274" t="s">
        <v>16</v>
      </c>
      <c r="BE47" s="70"/>
    </row>
    <row r="48" spans="1:57" x14ac:dyDescent="0.25">
      <c r="A48" s="217" t="s">
        <v>128</v>
      </c>
      <c r="B48" s="221" t="s">
        <v>20</v>
      </c>
      <c r="C48" s="174" t="s">
        <v>16</v>
      </c>
      <c r="D48" s="225" t="s">
        <v>182</v>
      </c>
      <c r="E48" s="173" t="s">
        <v>16</v>
      </c>
      <c r="F48" s="173">
        <v>1018</v>
      </c>
      <c r="G48" s="56">
        <v>1017</v>
      </c>
      <c r="H48" s="73" t="s">
        <v>182</v>
      </c>
      <c r="I48" s="174" t="s">
        <v>182</v>
      </c>
      <c r="J48" s="174" t="s">
        <v>16</v>
      </c>
      <c r="K48" s="285" t="s">
        <v>182</v>
      </c>
      <c r="L48" s="285" t="s">
        <v>16</v>
      </c>
      <c r="M48" s="285" t="s">
        <v>16</v>
      </c>
      <c r="N48" s="285" t="s">
        <v>16</v>
      </c>
      <c r="O48" s="285" t="s">
        <v>16</v>
      </c>
      <c r="P48" s="285" t="s">
        <v>16</v>
      </c>
      <c r="Q48" s="285" t="s">
        <v>16</v>
      </c>
      <c r="R48" s="174" t="s">
        <v>16</v>
      </c>
      <c r="S48" s="174" t="s">
        <v>16</v>
      </c>
      <c r="T48" s="174" t="s">
        <v>16</v>
      </c>
      <c r="U48" s="174" t="s">
        <v>16</v>
      </c>
      <c r="V48" s="174" t="s">
        <v>16</v>
      </c>
      <c r="W48" s="174" t="s">
        <v>16</v>
      </c>
      <c r="X48" s="56" t="s">
        <v>16</v>
      </c>
      <c r="Y48" s="58">
        <v>0.69299999999999995</v>
      </c>
      <c r="Z48" s="250">
        <v>0.307</v>
      </c>
      <c r="AA48" s="55">
        <v>1017</v>
      </c>
      <c r="AB48" s="73" t="s">
        <v>182</v>
      </c>
      <c r="AC48" s="174" t="s">
        <v>182</v>
      </c>
      <c r="AD48" s="174" t="s">
        <v>16</v>
      </c>
      <c r="AE48" s="174" t="s">
        <v>182</v>
      </c>
      <c r="AF48" s="174" t="s">
        <v>16</v>
      </c>
      <c r="AG48" s="174" t="s">
        <v>16</v>
      </c>
      <c r="AH48" s="174" t="s">
        <v>16</v>
      </c>
      <c r="AI48" s="56" t="s">
        <v>16</v>
      </c>
      <c r="AJ48" s="73" t="s">
        <v>182</v>
      </c>
      <c r="AK48" s="174" t="s">
        <v>16</v>
      </c>
      <c r="AL48" s="174" t="s">
        <v>16</v>
      </c>
      <c r="AM48" s="174" t="s">
        <v>16</v>
      </c>
      <c r="AN48" s="73" t="s">
        <v>859</v>
      </c>
      <c r="AO48" s="223" t="s">
        <v>875</v>
      </c>
      <c r="AP48" s="239" t="s">
        <v>889</v>
      </c>
      <c r="AQ48" s="106" t="s">
        <v>658</v>
      </c>
      <c r="AR48" s="73" t="s">
        <v>182</v>
      </c>
      <c r="AS48" s="174" t="s">
        <v>20</v>
      </c>
      <c r="AT48" s="174" t="s">
        <v>20</v>
      </c>
      <c r="AU48" s="174" t="s">
        <v>20</v>
      </c>
      <c r="AV48" s="174" t="s">
        <v>20</v>
      </c>
      <c r="AW48" s="174" t="s">
        <v>20</v>
      </c>
      <c r="AX48" s="174" t="s">
        <v>20</v>
      </c>
      <c r="AY48" s="174" t="s">
        <v>20</v>
      </c>
      <c r="AZ48" s="174" t="s">
        <v>20</v>
      </c>
      <c r="BA48" s="174" t="s">
        <v>20</v>
      </c>
      <c r="BB48" s="174" t="s">
        <v>20</v>
      </c>
      <c r="BC48" s="174" t="s">
        <v>16</v>
      </c>
      <c r="BD48" s="70" t="s">
        <v>879</v>
      </c>
      <c r="BE48" s="70"/>
    </row>
    <row r="49" spans="1:57" x14ac:dyDescent="0.25">
      <c r="A49" s="217" t="s">
        <v>129</v>
      </c>
      <c r="B49" s="218" t="s">
        <v>165</v>
      </c>
      <c r="C49" s="174" t="s">
        <v>16</v>
      </c>
      <c r="D49" s="225" t="s">
        <v>182</v>
      </c>
      <c r="E49" s="173">
        <v>4500</v>
      </c>
      <c r="F49" s="174" t="s">
        <v>20</v>
      </c>
      <c r="G49" s="56" t="s">
        <v>20</v>
      </c>
      <c r="H49" s="73" t="s">
        <v>16</v>
      </c>
      <c r="I49" s="174" t="s">
        <v>16</v>
      </c>
      <c r="J49" s="174" t="s">
        <v>16</v>
      </c>
      <c r="K49" s="285" t="s">
        <v>16</v>
      </c>
      <c r="L49" s="285" t="s">
        <v>16</v>
      </c>
      <c r="M49" s="285" t="s">
        <v>16</v>
      </c>
      <c r="N49" s="285" t="s">
        <v>16</v>
      </c>
      <c r="O49" s="285" t="s">
        <v>16</v>
      </c>
      <c r="P49" s="285" t="s">
        <v>16</v>
      </c>
      <c r="Q49" s="285" t="s">
        <v>182</v>
      </c>
      <c r="R49" s="174" t="s">
        <v>182</v>
      </c>
      <c r="S49" s="174" t="s">
        <v>16</v>
      </c>
      <c r="T49" s="174" t="s">
        <v>16</v>
      </c>
      <c r="U49" s="174" t="s">
        <v>16</v>
      </c>
      <c r="V49" s="174" t="s">
        <v>16</v>
      </c>
      <c r="W49" s="174" t="s">
        <v>16</v>
      </c>
      <c r="X49" s="56" t="s">
        <v>16</v>
      </c>
      <c r="Y49" s="73" t="s">
        <v>16</v>
      </c>
      <c r="Z49" s="174" t="s">
        <v>16</v>
      </c>
      <c r="AA49" s="56" t="s">
        <v>16</v>
      </c>
      <c r="AB49" s="73" t="s">
        <v>16</v>
      </c>
      <c r="AC49" s="174" t="s">
        <v>16</v>
      </c>
      <c r="AD49" s="174" t="s">
        <v>16</v>
      </c>
      <c r="AE49" s="174" t="s">
        <v>182</v>
      </c>
      <c r="AF49" s="174" t="s">
        <v>16</v>
      </c>
      <c r="AG49" s="174" t="s">
        <v>16</v>
      </c>
      <c r="AH49" s="174" t="s">
        <v>16</v>
      </c>
      <c r="AI49" s="56" t="s">
        <v>16</v>
      </c>
      <c r="AJ49" s="73" t="s">
        <v>16</v>
      </c>
      <c r="AK49" s="174" t="s">
        <v>16</v>
      </c>
      <c r="AL49" s="174" t="s">
        <v>16</v>
      </c>
      <c r="AM49" s="174" t="s">
        <v>16</v>
      </c>
      <c r="AN49" s="74" t="s">
        <v>890</v>
      </c>
      <c r="AO49" s="106" t="s">
        <v>433</v>
      </c>
      <c r="AP49" s="239" t="s">
        <v>670</v>
      </c>
      <c r="AQ49" s="106" t="s">
        <v>671</v>
      </c>
      <c r="AR49" s="73" t="s">
        <v>182</v>
      </c>
      <c r="AS49" s="174" t="s">
        <v>20</v>
      </c>
      <c r="AT49" s="174" t="s">
        <v>20</v>
      </c>
      <c r="AU49" s="174" t="s">
        <v>20</v>
      </c>
      <c r="AV49" s="174" t="s">
        <v>20</v>
      </c>
      <c r="AW49" s="174" t="s">
        <v>20</v>
      </c>
      <c r="AX49" s="174" t="s">
        <v>20</v>
      </c>
      <c r="AY49" s="174" t="s">
        <v>20</v>
      </c>
      <c r="AZ49" s="174" t="s">
        <v>20</v>
      </c>
      <c r="BA49" s="174" t="s">
        <v>20</v>
      </c>
      <c r="BB49" s="174" t="s">
        <v>20</v>
      </c>
      <c r="BC49" s="174" t="s">
        <v>16</v>
      </c>
      <c r="BD49" s="70" t="s">
        <v>20</v>
      </c>
      <c r="BE49" s="70"/>
    </row>
    <row r="50" spans="1:57" x14ac:dyDescent="0.25">
      <c r="A50" s="217" t="s">
        <v>130</v>
      </c>
      <c r="B50" s="218" t="s">
        <v>54</v>
      </c>
      <c r="C50" s="174" t="s">
        <v>16</v>
      </c>
      <c r="D50" s="225" t="s">
        <v>182</v>
      </c>
      <c r="E50" s="174">
        <v>364</v>
      </c>
      <c r="F50" s="174" t="s">
        <v>20</v>
      </c>
      <c r="G50" s="56" t="s">
        <v>20</v>
      </c>
      <c r="H50" s="73" t="s">
        <v>16</v>
      </c>
      <c r="I50" s="174" t="s">
        <v>16</v>
      </c>
      <c r="J50" s="174" t="s">
        <v>16</v>
      </c>
      <c r="K50" s="285" t="s">
        <v>16</v>
      </c>
      <c r="L50" s="285" t="s">
        <v>16</v>
      </c>
      <c r="M50" s="285" t="s">
        <v>16</v>
      </c>
      <c r="N50" s="285" t="s">
        <v>16</v>
      </c>
      <c r="O50" s="285" t="s">
        <v>16</v>
      </c>
      <c r="P50" s="285" t="s">
        <v>16</v>
      </c>
      <c r="Q50" s="285" t="s">
        <v>16</v>
      </c>
      <c r="R50" s="174" t="s">
        <v>16</v>
      </c>
      <c r="S50" s="174" t="s">
        <v>16</v>
      </c>
      <c r="T50" s="174" t="s">
        <v>16</v>
      </c>
      <c r="U50" s="174" t="s">
        <v>16</v>
      </c>
      <c r="V50" s="174" t="s">
        <v>16</v>
      </c>
      <c r="W50" s="174" t="s">
        <v>16</v>
      </c>
      <c r="X50" s="56" t="s">
        <v>16</v>
      </c>
      <c r="Y50" s="58">
        <f>238/364</f>
        <v>0.65384615384615385</v>
      </c>
      <c r="Z50" s="259">
        <f>126/364</f>
        <v>0.34615384615384615</v>
      </c>
      <c r="AA50" s="223">
        <v>364</v>
      </c>
      <c r="AB50" s="73" t="s">
        <v>16</v>
      </c>
      <c r="AC50" s="250">
        <f>1/364</f>
        <v>2.7472527472527475E-3</v>
      </c>
      <c r="AD50" s="250">
        <f>36/364</f>
        <v>9.8901098901098897E-2</v>
      </c>
      <c r="AE50" s="250">
        <f>301/364</f>
        <v>0.82692307692307687</v>
      </c>
      <c r="AF50" s="174" t="s">
        <v>16</v>
      </c>
      <c r="AG50" s="250">
        <f>25/364</f>
        <v>6.8681318681318687E-2</v>
      </c>
      <c r="AH50" s="250">
        <f>1/364</f>
        <v>2.7472527472527475E-3</v>
      </c>
      <c r="AI50" s="56">
        <v>364</v>
      </c>
      <c r="AJ50" s="73" t="s">
        <v>182</v>
      </c>
      <c r="AK50" s="174" t="s">
        <v>182</v>
      </c>
      <c r="AL50" s="174" t="s">
        <v>16</v>
      </c>
      <c r="AM50" s="174" t="s">
        <v>16</v>
      </c>
      <c r="AN50" s="73" t="s">
        <v>50</v>
      </c>
      <c r="AO50" s="223" t="s">
        <v>892</v>
      </c>
      <c r="AP50" s="239" t="s">
        <v>510</v>
      </c>
      <c r="AQ50" s="56" t="s">
        <v>16</v>
      </c>
      <c r="AR50" s="73" t="s">
        <v>182</v>
      </c>
      <c r="AS50" s="174" t="s">
        <v>20</v>
      </c>
      <c r="AT50" s="174" t="s">
        <v>20</v>
      </c>
      <c r="AU50" s="174" t="s">
        <v>20</v>
      </c>
      <c r="AV50" s="174" t="s">
        <v>20</v>
      </c>
      <c r="AW50" s="174" t="s">
        <v>20</v>
      </c>
      <c r="AX50" s="174" t="s">
        <v>20</v>
      </c>
      <c r="AY50" s="174" t="s">
        <v>20</v>
      </c>
      <c r="AZ50" s="174" t="s">
        <v>20</v>
      </c>
      <c r="BA50" s="174" t="s">
        <v>20</v>
      </c>
      <c r="BB50" s="174" t="s">
        <v>20</v>
      </c>
      <c r="BC50" s="174" t="s">
        <v>16</v>
      </c>
      <c r="BD50" s="70" t="s">
        <v>891</v>
      </c>
      <c r="BE50" s="70"/>
    </row>
    <row r="51" spans="1:57" x14ac:dyDescent="0.25">
      <c r="A51" s="217" t="s">
        <v>131</v>
      </c>
      <c r="B51" s="218" t="s">
        <v>166</v>
      </c>
      <c r="C51" s="174" t="s">
        <v>16</v>
      </c>
      <c r="D51" s="225" t="s">
        <v>182</v>
      </c>
      <c r="E51" s="174"/>
      <c r="F51" s="174"/>
      <c r="G51" s="56"/>
      <c r="H51" s="73" t="s">
        <v>182</v>
      </c>
      <c r="I51" s="174" t="s">
        <v>182</v>
      </c>
      <c r="J51" s="174" t="s">
        <v>16</v>
      </c>
      <c r="K51" s="285" t="s">
        <v>16</v>
      </c>
      <c r="L51" s="285" t="s">
        <v>16</v>
      </c>
      <c r="M51" s="285" t="s">
        <v>16</v>
      </c>
      <c r="N51" s="285" t="s">
        <v>16</v>
      </c>
      <c r="O51" s="285" t="s">
        <v>16</v>
      </c>
      <c r="P51" s="285" t="s">
        <v>16</v>
      </c>
      <c r="Q51" s="285" t="s">
        <v>16</v>
      </c>
      <c r="R51" s="174" t="s">
        <v>16</v>
      </c>
      <c r="S51" s="174" t="s">
        <v>16</v>
      </c>
      <c r="T51" s="174" t="s">
        <v>16</v>
      </c>
      <c r="U51" s="174" t="s">
        <v>16</v>
      </c>
      <c r="V51" s="174" t="s">
        <v>16</v>
      </c>
      <c r="W51" s="174" t="s">
        <v>16</v>
      </c>
      <c r="X51" s="56" t="s">
        <v>16</v>
      </c>
      <c r="Y51" s="73" t="s">
        <v>16</v>
      </c>
      <c r="Z51" s="174" t="s">
        <v>16</v>
      </c>
      <c r="AA51" s="56" t="s">
        <v>16</v>
      </c>
      <c r="AB51" s="73" t="s">
        <v>16</v>
      </c>
      <c r="AC51" s="174" t="s">
        <v>16</v>
      </c>
      <c r="AD51" s="174" t="s">
        <v>16</v>
      </c>
      <c r="AE51" s="174" t="s">
        <v>16</v>
      </c>
      <c r="AF51" s="174" t="s">
        <v>16</v>
      </c>
      <c r="AG51" s="174" t="s">
        <v>16</v>
      </c>
      <c r="AH51" s="174" t="s">
        <v>16</v>
      </c>
      <c r="AI51" s="56" t="s">
        <v>16</v>
      </c>
      <c r="AJ51" s="73" t="s">
        <v>16</v>
      </c>
      <c r="AK51" s="174" t="s">
        <v>16</v>
      </c>
      <c r="AL51" s="174" t="s">
        <v>16</v>
      </c>
      <c r="AM51" s="174" t="s">
        <v>16</v>
      </c>
      <c r="AN51" s="73" t="s">
        <v>50</v>
      </c>
      <c r="AO51" s="223" t="s">
        <v>392</v>
      </c>
      <c r="AP51" s="239" t="s">
        <v>509</v>
      </c>
      <c r="AQ51" s="56" t="s">
        <v>20</v>
      </c>
      <c r="AR51" s="73" t="s">
        <v>182</v>
      </c>
      <c r="AS51" s="174" t="s">
        <v>20</v>
      </c>
      <c r="AT51" s="174" t="s">
        <v>20</v>
      </c>
      <c r="AU51" s="174" t="s">
        <v>20</v>
      </c>
      <c r="AV51" s="174" t="s">
        <v>20</v>
      </c>
      <c r="AW51" s="174" t="s">
        <v>20</v>
      </c>
      <c r="AX51" s="174" t="s">
        <v>20</v>
      </c>
      <c r="AY51" s="174" t="s">
        <v>20</v>
      </c>
      <c r="AZ51" s="174" t="s">
        <v>20</v>
      </c>
      <c r="BA51" s="174" t="s">
        <v>20</v>
      </c>
      <c r="BB51" s="174" t="s">
        <v>20</v>
      </c>
      <c r="BC51" s="174" t="s">
        <v>16</v>
      </c>
      <c r="BD51" s="70" t="s">
        <v>243</v>
      </c>
      <c r="BE51" s="70"/>
    </row>
    <row r="52" spans="1:57" x14ac:dyDescent="0.25">
      <c r="A52" s="217" t="s">
        <v>44</v>
      </c>
      <c r="B52" s="218" t="s">
        <v>45</v>
      </c>
      <c r="C52" s="174" t="s">
        <v>16</v>
      </c>
      <c r="D52" s="225" t="s">
        <v>16</v>
      </c>
      <c r="E52" s="219" t="s">
        <v>16</v>
      </c>
      <c r="F52" s="219" t="s">
        <v>16</v>
      </c>
      <c r="G52" s="225" t="s">
        <v>16</v>
      </c>
      <c r="H52" s="240" t="s">
        <v>16</v>
      </c>
      <c r="I52" s="219" t="s">
        <v>16</v>
      </c>
      <c r="J52" s="219" t="s">
        <v>16</v>
      </c>
      <c r="K52" s="229" t="s">
        <v>16</v>
      </c>
      <c r="L52" s="229" t="s">
        <v>16</v>
      </c>
      <c r="M52" s="285" t="s">
        <v>16</v>
      </c>
      <c r="N52" s="229" t="s">
        <v>16</v>
      </c>
      <c r="O52" s="229" t="s">
        <v>16</v>
      </c>
      <c r="P52" s="229" t="s">
        <v>16</v>
      </c>
      <c r="Q52" s="229" t="s">
        <v>16</v>
      </c>
      <c r="R52" s="219" t="s">
        <v>16</v>
      </c>
      <c r="S52" s="219" t="s">
        <v>16</v>
      </c>
      <c r="T52" s="219" t="s">
        <v>16</v>
      </c>
      <c r="U52" s="219" t="s">
        <v>16</v>
      </c>
      <c r="V52" s="219" t="s">
        <v>16</v>
      </c>
      <c r="W52" s="219" t="s">
        <v>16</v>
      </c>
      <c r="X52" s="225" t="s">
        <v>16</v>
      </c>
      <c r="Y52" s="240" t="s">
        <v>16</v>
      </c>
      <c r="Z52" s="219" t="s">
        <v>16</v>
      </c>
      <c r="AA52" s="225" t="s">
        <v>16</v>
      </c>
      <c r="AB52" s="240" t="s">
        <v>16</v>
      </c>
      <c r="AC52" s="219" t="s">
        <v>16</v>
      </c>
      <c r="AD52" s="219" t="s">
        <v>16</v>
      </c>
      <c r="AE52" s="219" t="s">
        <v>16</v>
      </c>
      <c r="AF52" s="219" t="s">
        <v>16</v>
      </c>
      <c r="AG52" s="219" t="s">
        <v>16</v>
      </c>
      <c r="AH52" s="219" t="s">
        <v>16</v>
      </c>
      <c r="AI52" s="225" t="s">
        <v>16</v>
      </c>
      <c r="AJ52" s="240" t="s">
        <v>16</v>
      </c>
      <c r="AK52" s="219" t="s">
        <v>16</v>
      </c>
      <c r="AL52" s="219" t="s">
        <v>16</v>
      </c>
      <c r="AM52" s="219" t="s">
        <v>16</v>
      </c>
      <c r="AN52" s="240" t="s">
        <v>16</v>
      </c>
      <c r="AO52" s="225" t="s">
        <v>16</v>
      </c>
      <c r="AP52" s="288" t="s">
        <v>16</v>
      </c>
      <c r="AQ52" s="225" t="s">
        <v>16</v>
      </c>
      <c r="AR52" s="240" t="s">
        <v>16</v>
      </c>
      <c r="AS52" s="219" t="s">
        <v>16</v>
      </c>
      <c r="AT52" s="219" t="s">
        <v>16</v>
      </c>
      <c r="AU52" s="219" t="s">
        <v>16</v>
      </c>
      <c r="AV52" s="219" t="s">
        <v>16</v>
      </c>
      <c r="AW52" s="219" t="s">
        <v>16</v>
      </c>
      <c r="AX52" s="219" t="s">
        <v>16</v>
      </c>
      <c r="AY52" s="219" t="s">
        <v>16</v>
      </c>
      <c r="AZ52" s="219" t="s">
        <v>16</v>
      </c>
      <c r="BA52" s="219" t="s">
        <v>16</v>
      </c>
      <c r="BB52" s="219" t="s">
        <v>16</v>
      </c>
      <c r="BC52" s="219" t="s">
        <v>16</v>
      </c>
      <c r="BD52" s="274" t="s">
        <v>16</v>
      </c>
      <c r="BE52" s="70"/>
    </row>
    <row r="53" spans="1:57" x14ac:dyDescent="0.25">
      <c r="A53" s="217" t="s">
        <v>46</v>
      </c>
      <c r="B53" s="218" t="s">
        <v>47</v>
      </c>
      <c r="C53" s="174" t="s">
        <v>16</v>
      </c>
      <c r="D53" s="225" t="s">
        <v>16</v>
      </c>
      <c r="E53" s="219" t="s">
        <v>16</v>
      </c>
      <c r="F53" s="219" t="s">
        <v>16</v>
      </c>
      <c r="G53" s="225" t="s">
        <v>16</v>
      </c>
      <c r="H53" s="240" t="s">
        <v>16</v>
      </c>
      <c r="I53" s="219" t="s">
        <v>16</v>
      </c>
      <c r="J53" s="219" t="s">
        <v>16</v>
      </c>
      <c r="K53" s="229" t="s">
        <v>16</v>
      </c>
      <c r="L53" s="229" t="s">
        <v>16</v>
      </c>
      <c r="M53" s="285" t="s">
        <v>16</v>
      </c>
      <c r="N53" s="229" t="s">
        <v>16</v>
      </c>
      <c r="O53" s="229" t="s">
        <v>16</v>
      </c>
      <c r="P53" s="229" t="s">
        <v>16</v>
      </c>
      <c r="Q53" s="229" t="s">
        <v>16</v>
      </c>
      <c r="R53" s="219" t="s">
        <v>16</v>
      </c>
      <c r="S53" s="219" t="s">
        <v>16</v>
      </c>
      <c r="T53" s="219" t="s">
        <v>16</v>
      </c>
      <c r="U53" s="219" t="s">
        <v>16</v>
      </c>
      <c r="V53" s="219" t="s">
        <v>16</v>
      </c>
      <c r="W53" s="219" t="s">
        <v>16</v>
      </c>
      <c r="X53" s="225" t="s">
        <v>16</v>
      </c>
      <c r="Y53" s="240" t="s">
        <v>16</v>
      </c>
      <c r="Z53" s="219" t="s">
        <v>16</v>
      </c>
      <c r="AA53" s="225" t="s">
        <v>16</v>
      </c>
      <c r="AB53" s="240" t="s">
        <v>16</v>
      </c>
      <c r="AC53" s="219" t="s">
        <v>16</v>
      </c>
      <c r="AD53" s="219" t="s">
        <v>16</v>
      </c>
      <c r="AE53" s="219" t="s">
        <v>16</v>
      </c>
      <c r="AF53" s="219" t="s">
        <v>16</v>
      </c>
      <c r="AG53" s="219" t="s">
        <v>16</v>
      </c>
      <c r="AH53" s="219" t="s">
        <v>16</v>
      </c>
      <c r="AI53" s="225" t="s">
        <v>16</v>
      </c>
      <c r="AJ53" s="240" t="s">
        <v>16</v>
      </c>
      <c r="AK53" s="219" t="s">
        <v>16</v>
      </c>
      <c r="AL53" s="219" t="s">
        <v>16</v>
      </c>
      <c r="AM53" s="219" t="s">
        <v>16</v>
      </c>
      <c r="AN53" s="240" t="s">
        <v>16</v>
      </c>
      <c r="AO53" s="225" t="s">
        <v>16</v>
      </c>
      <c r="AP53" s="288" t="s">
        <v>16</v>
      </c>
      <c r="AQ53" s="225" t="s">
        <v>16</v>
      </c>
      <c r="AR53" s="240" t="s">
        <v>16</v>
      </c>
      <c r="AS53" s="219" t="s">
        <v>16</v>
      </c>
      <c r="AT53" s="219" t="s">
        <v>16</v>
      </c>
      <c r="AU53" s="219" t="s">
        <v>16</v>
      </c>
      <c r="AV53" s="219" t="s">
        <v>16</v>
      </c>
      <c r="AW53" s="219" t="s">
        <v>16</v>
      </c>
      <c r="AX53" s="219" t="s">
        <v>16</v>
      </c>
      <c r="AY53" s="219" t="s">
        <v>16</v>
      </c>
      <c r="AZ53" s="219" t="s">
        <v>16</v>
      </c>
      <c r="BA53" s="219" t="s">
        <v>16</v>
      </c>
      <c r="BB53" s="219" t="s">
        <v>16</v>
      </c>
      <c r="BC53" s="219" t="s">
        <v>16</v>
      </c>
      <c r="BD53" s="274" t="s">
        <v>16</v>
      </c>
      <c r="BE53" s="70"/>
    </row>
    <row r="54" spans="1:57" x14ac:dyDescent="0.25">
      <c r="A54" s="217" t="s">
        <v>48</v>
      </c>
      <c r="B54" s="218" t="s">
        <v>49</v>
      </c>
      <c r="C54" s="174" t="s">
        <v>16</v>
      </c>
      <c r="D54" s="225" t="s">
        <v>16</v>
      </c>
      <c r="E54" s="173">
        <v>520000</v>
      </c>
      <c r="F54" s="173">
        <v>520000</v>
      </c>
      <c r="G54" s="56" t="s">
        <v>20</v>
      </c>
      <c r="H54" s="73" t="s">
        <v>16</v>
      </c>
      <c r="I54" s="174" t="s">
        <v>16</v>
      </c>
      <c r="J54" s="174" t="s">
        <v>16</v>
      </c>
      <c r="K54" s="285" t="s">
        <v>16</v>
      </c>
      <c r="L54" s="285" t="s">
        <v>16</v>
      </c>
      <c r="M54" s="285" t="s">
        <v>16</v>
      </c>
      <c r="N54" s="285" t="s">
        <v>16</v>
      </c>
      <c r="O54" s="285" t="s">
        <v>16</v>
      </c>
      <c r="P54" s="285" t="s">
        <v>16</v>
      </c>
      <c r="Q54" s="285" t="s">
        <v>16</v>
      </c>
      <c r="R54" s="174" t="s">
        <v>16</v>
      </c>
      <c r="S54" s="174" t="s">
        <v>16</v>
      </c>
      <c r="T54" s="174" t="s">
        <v>16</v>
      </c>
      <c r="U54" s="174" t="s">
        <v>16</v>
      </c>
      <c r="V54" s="174" t="s">
        <v>16</v>
      </c>
      <c r="W54" s="174" t="s">
        <v>16</v>
      </c>
      <c r="X54" s="56" t="s">
        <v>16</v>
      </c>
      <c r="Y54" s="73">
        <f>0.57*Tabela1[[#This Row],[N of Samples]]</f>
        <v>296400</v>
      </c>
      <c r="Z54" s="174">
        <f>0.43*Tabela1[[#This Row],[N of Samples]]</f>
        <v>223600</v>
      </c>
      <c r="AA54" s="223">
        <f>SUM(Tabela1[[#This Row],[Nº of females]:[Nº of males]])</f>
        <v>520000</v>
      </c>
      <c r="AB54" s="73" t="s">
        <v>16</v>
      </c>
      <c r="AC54" s="174" t="s">
        <v>16</v>
      </c>
      <c r="AD54" s="174" t="s">
        <v>16</v>
      </c>
      <c r="AE54" s="174" t="s">
        <v>16</v>
      </c>
      <c r="AF54" s="174" t="s">
        <v>16</v>
      </c>
      <c r="AG54" s="174" t="s">
        <v>16</v>
      </c>
      <c r="AH54" s="174" t="s">
        <v>16</v>
      </c>
      <c r="AI54" s="56" t="s">
        <v>16</v>
      </c>
      <c r="AJ54" s="73" t="s">
        <v>16</v>
      </c>
      <c r="AK54" s="174" t="s">
        <v>16</v>
      </c>
      <c r="AL54" s="174" t="s">
        <v>16</v>
      </c>
      <c r="AM54" s="174" t="s">
        <v>16</v>
      </c>
      <c r="AN54" s="74" t="s">
        <v>567</v>
      </c>
      <c r="AO54" s="223" t="s">
        <v>565</v>
      </c>
      <c r="AP54" s="239" t="s">
        <v>564</v>
      </c>
      <c r="AQ54" s="56" t="s">
        <v>20</v>
      </c>
      <c r="AR54" s="73" t="s">
        <v>20</v>
      </c>
      <c r="AS54" s="219" t="s">
        <v>16</v>
      </c>
      <c r="AT54" s="219" t="s">
        <v>16</v>
      </c>
      <c r="AU54" s="219" t="s">
        <v>16</v>
      </c>
      <c r="AV54" s="219" t="s">
        <v>16</v>
      </c>
      <c r="AW54" s="219" t="s">
        <v>16</v>
      </c>
      <c r="AX54" s="219" t="s">
        <v>16</v>
      </c>
      <c r="AY54" s="219" t="s">
        <v>16</v>
      </c>
      <c r="AZ54" s="219" t="s">
        <v>16</v>
      </c>
      <c r="BA54" s="219" t="s">
        <v>16</v>
      </c>
      <c r="BB54" s="219" t="s">
        <v>16</v>
      </c>
      <c r="BC54" s="219" t="s">
        <v>16</v>
      </c>
      <c r="BD54" s="70" t="s">
        <v>20</v>
      </c>
      <c r="BE54" s="70"/>
    </row>
    <row r="55" spans="1:57" ht="16.5" customHeight="1" x14ac:dyDescent="0.25">
      <c r="A55" s="217" t="s">
        <v>46</v>
      </c>
      <c r="B55" s="218" t="s">
        <v>51</v>
      </c>
      <c r="C55" s="174" t="s">
        <v>16</v>
      </c>
      <c r="D55" s="225" t="s">
        <v>16</v>
      </c>
      <c r="E55" s="173">
        <v>488377</v>
      </c>
      <c r="F55" s="173">
        <v>488377</v>
      </c>
      <c r="G55" s="56" t="s">
        <v>20</v>
      </c>
      <c r="H55" s="73" t="s">
        <v>16</v>
      </c>
      <c r="I55" s="174" t="s">
        <v>16</v>
      </c>
      <c r="J55" s="174" t="s">
        <v>16</v>
      </c>
      <c r="K55" s="285" t="s">
        <v>16</v>
      </c>
      <c r="L55" s="285" t="s">
        <v>16</v>
      </c>
      <c r="M55" s="285" t="s">
        <v>16</v>
      </c>
      <c r="N55" s="285" t="s">
        <v>16</v>
      </c>
      <c r="O55" s="285" t="s">
        <v>16</v>
      </c>
      <c r="P55" s="285" t="s">
        <v>16</v>
      </c>
      <c r="Q55" s="285" t="s">
        <v>16</v>
      </c>
      <c r="R55" s="174" t="s">
        <v>16</v>
      </c>
      <c r="S55" s="174" t="s">
        <v>16</v>
      </c>
      <c r="T55" s="174" t="s">
        <v>16</v>
      </c>
      <c r="U55" s="174" t="s">
        <v>16</v>
      </c>
      <c r="V55" s="174" t="s">
        <v>16</v>
      </c>
      <c r="W55" s="174" t="s">
        <v>16</v>
      </c>
      <c r="X55" s="56" t="s">
        <v>16</v>
      </c>
      <c r="Y55" s="73" t="s">
        <v>16</v>
      </c>
      <c r="Z55" s="174" t="s">
        <v>16</v>
      </c>
      <c r="AA55" s="56" t="s">
        <v>16</v>
      </c>
      <c r="AB55" s="73" t="s">
        <v>16</v>
      </c>
      <c r="AC55" s="174" t="s">
        <v>16</v>
      </c>
      <c r="AD55" s="174" t="s">
        <v>16</v>
      </c>
      <c r="AE55" s="174" t="s">
        <v>16</v>
      </c>
      <c r="AF55" s="174" t="s">
        <v>16</v>
      </c>
      <c r="AG55" s="174" t="s">
        <v>16</v>
      </c>
      <c r="AH55" s="174" t="s">
        <v>16</v>
      </c>
      <c r="AI55" s="56" t="s">
        <v>16</v>
      </c>
      <c r="AJ55" s="73" t="s">
        <v>16</v>
      </c>
      <c r="AK55" s="174" t="s">
        <v>16</v>
      </c>
      <c r="AL55" s="174" t="s">
        <v>16</v>
      </c>
      <c r="AM55" s="174" t="s">
        <v>16</v>
      </c>
      <c r="AN55" s="73" t="s">
        <v>566</v>
      </c>
      <c r="AO55" s="223" t="s">
        <v>569</v>
      </c>
      <c r="AP55" s="239" t="s">
        <v>571</v>
      </c>
      <c r="AQ55" s="106" t="s">
        <v>570</v>
      </c>
      <c r="AR55" s="73" t="s">
        <v>20</v>
      </c>
      <c r="AS55" s="219" t="s">
        <v>16</v>
      </c>
      <c r="AT55" s="219" t="s">
        <v>16</v>
      </c>
      <c r="AU55" s="219" t="s">
        <v>16</v>
      </c>
      <c r="AV55" s="219" t="s">
        <v>16</v>
      </c>
      <c r="AW55" s="219" t="s">
        <v>16</v>
      </c>
      <c r="AX55" s="219" t="s">
        <v>16</v>
      </c>
      <c r="AY55" s="219" t="s">
        <v>16</v>
      </c>
      <c r="AZ55" s="219" t="s">
        <v>16</v>
      </c>
      <c r="BA55" s="219" t="s">
        <v>16</v>
      </c>
      <c r="BB55" s="219" t="s">
        <v>16</v>
      </c>
      <c r="BC55" s="219" t="s">
        <v>16</v>
      </c>
      <c r="BD55" s="275" t="s">
        <v>568</v>
      </c>
      <c r="BE55" s="277" t="s">
        <v>1062</v>
      </c>
    </row>
    <row r="56" spans="1:57" x14ac:dyDescent="0.25">
      <c r="A56" s="217" t="s">
        <v>132</v>
      </c>
      <c r="B56" s="218" t="s">
        <v>167</v>
      </c>
      <c r="C56" s="174" t="s">
        <v>182</v>
      </c>
      <c r="D56" s="225" t="s">
        <v>182</v>
      </c>
      <c r="E56" s="173">
        <v>10802</v>
      </c>
      <c r="F56" s="174" t="s">
        <v>20</v>
      </c>
      <c r="G56" s="56" t="s">
        <v>20</v>
      </c>
      <c r="H56" s="73" t="s">
        <v>16</v>
      </c>
      <c r="I56" s="174" t="s">
        <v>16</v>
      </c>
      <c r="J56" s="174" t="s">
        <v>16</v>
      </c>
      <c r="K56" s="285" t="s">
        <v>16</v>
      </c>
      <c r="L56" s="285" t="s">
        <v>16</v>
      </c>
      <c r="M56" s="285" t="s">
        <v>16</v>
      </c>
      <c r="N56" s="285" t="s">
        <v>16</v>
      </c>
      <c r="O56" s="285" t="s">
        <v>16</v>
      </c>
      <c r="P56" s="285" t="s">
        <v>16</v>
      </c>
      <c r="Q56" s="285" t="s">
        <v>16</v>
      </c>
      <c r="R56" s="174" t="s">
        <v>16</v>
      </c>
      <c r="S56" s="174" t="s">
        <v>16</v>
      </c>
      <c r="T56" s="174" t="s">
        <v>16</v>
      </c>
      <c r="U56" s="174" t="s">
        <v>16</v>
      </c>
      <c r="V56" s="174" t="s">
        <v>16</v>
      </c>
      <c r="W56" s="174" t="s">
        <v>16</v>
      </c>
      <c r="X56" s="56" t="s">
        <v>16</v>
      </c>
      <c r="Y56" s="73" t="s">
        <v>16</v>
      </c>
      <c r="Z56" s="174" t="s">
        <v>16</v>
      </c>
      <c r="AA56" s="56" t="s">
        <v>16</v>
      </c>
      <c r="AB56" s="73" t="s">
        <v>16</v>
      </c>
      <c r="AC56" s="174" t="s">
        <v>16</v>
      </c>
      <c r="AD56" s="250">
        <v>0.63</v>
      </c>
      <c r="AE56" s="250">
        <v>0.37</v>
      </c>
      <c r="AF56" s="174" t="s">
        <v>16</v>
      </c>
      <c r="AG56" s="174" t="s">
        <v>16</v>
      </c>
      <c r="AH56" s="174" t="s">
        <v>16</v>
      </c>
      <c r="AI56" s="56" t="s">
        <v>16</v>
      </c>
      <c r="AJ56" s="73" t="s">
        <v>16</v>
      </c>
      <c r="AK56" s="174" t="s">
        <v>16</v>
      </c>
      <c r="AL56" s="174" t="s">
        <v>16</v>
      </c>
      <c r="AM56" s="174" t="s">
        <v>16</v>
      </c>
      <c r="AN56" s="73" t="s">
        <v>893</v>
      </c>
      <c r="AO56" s="223" t="s">
        <v>894</v>
      </c>
      <c r="AP56" s="239" t="s">
        <v>858</v>
      </c>
      <c r="AQ56" s="56" t="s">
        <v>658</v>
      </c>
      <c r="AR56" s="73" t="s">
        <v>182</v>
      </c>
      <c r="AS56" s="174" t="s">
        <v>20</v>
      </c>
      <c r="AT56" s="174" t="s">
        <v>20</v>
      </c>
      <c r="AU56" s="174" t="s">
        <v>20</v>
      </c>
      <c r="AV56" s="174" t="s">
        <v>20</v>
      </c>
      <c r="AW56" s="174" t="s">
        <v>20</v>
      </c>
      <c r="AX56" s="174" t="s">
        <v>20</v>
      </c>
      <c r="AY56" s="174" t="s">
        <v>20</v>
      </c>
      <c r="AZ56" s="174" t="s">
        <v>20</v>
      </c>
      <c r="BA56" s="174" t="s">
        <v>20</v>
      </c>
      <c r="BB56" s="174" t="s">
        <v>20</v>
      </c>
      <c r="BC56" s="174">
        <v>750</v>
      </c>
      <c r="BD56" s="70"/>
      <c r="BE56" s="70"/>
    </row>
    <row r="57" spans="1:57" x14ac:dyDescent="0.25">
      <c r="A57" s="217" t="s">
        <v>133</v>
      </c>
      <c r="B57" s="218" t="s">
        <v>168</v>
      </c>
      <c r="C57" s="174" t="s">
        <v>182</v>
      </c>
      <c r="D57" s="225" t="s">
        <v>182</v>
      </c>
      <c r="E57" s="173">
        <v>2800</v>
      </c>
      <c r="F57" s="174" t="s">
        <v>20</v>
      </c>
      <c r="G57" s="56" t="s">
        <v>20</v>
      </c>
      <c r="H57" s="73" t="s">
        <v>182</v>
      </c>
      <c r="I57" s="174" t="s">
        <v>182</v>
      </c>
      <c r="J57" s="174" t="s">
        <v>16</v>
      </c>
      <c r="K57" s="285" t="s">
        <v>16</v>
      </c>
      <c r="L57" s="285" t="s">
        <v>182</v>
      </c>
      <c r="M57" s="285" t="s">
        <v>16</v>
      </c>
      <c r="N57" s="285" t="s">
        <v>16</v>
      </c>
      <c r="O57" s="285" t="s">
        <v>16</v>
      </c>
      <c r="P57" s="285" t="s">
        <v>16</v>
      </c>
      <c r="Q57" s="285" t="s">
        <v>16</v>
      </c>
      <c r="R57" s="174" t="s">
        <v>16</v>
      </c>
      <c r="S57" s="174" t="s">
        <v>16</v>
      </c>
      <c r="T57" s="174" t="s">
        <v>16</v>
      </c>
      <c r="U57" s="174" t="s">
        <v>16</v>
      </c>
      <c r="V57" s="174" t="s">
        <v>16</v>
      </c>
      <c r="W57" s="174" t="s">
        <v>16</v>
      </c>
      <c r="X57" s="56" t="s">
        <v>16</v>
      </c>
      <c r="Y57" s="73" t="s">
        <v>16</v>
      </c>
      <c r="Z57" s="174" t="s">
        <v>16</v>
      </c>
      <c r="AA57" s="56" t="s">
        <v>16</v>
      </c>
      <c r="AB57" s="73" t="s">
        <v>16</v>
      </c>
      <c r="AC57" s="174" t="s">
        <v>16</v>
      </c>
      <c r="AD57" s="174" t="s">
        <v>16</v>
      </c>
      <c r="AE57" s="174" t="s">
        <v>16</v>
      </c>
      <c r="AF57" s="174" t="s">
        <v>16</v>
      </c>
      <c r="AG57" s="174" t="s">
        <v>16</v>
      </c>
      <c r="AH57" s="174" t="s">
        <v>16</v>
      </c>
      <c r="AI57" s="56" t="s">
        <v>16</v>
      </c>
      <c r="AJ57" s="73" t="s">
        <v>16</v>
      </c>
      <c r="AK57" s="174" t="s">
        <v>16</v>
      </c>
      <c r="AL57" s="174" t="s">
        <v>16</v>
      </c>
      <c r="AM57" s="174" t="s">
        <v>16</v>
      </c>
      <c r="AN57" s="73" t="s">
        <v>893</v>
      </c>
      <c r="AO57" s="223" t="s">
        <v>895</v>
      </c>
      <c r="AP57" s="239" t="s">
        <v>502</v>
      </c>
      <c r="AQ57" s="106" t="s">
        <v>896</v>
      </c>
      <c r="AR57" s="73" t="s">
        <v>182</v>
      </c>
      <c r="AS57" s="174" t="s">
        <v>20</v>
      </c>
      <c r="AT57" s="174" t="s">
        <v>20</v>
      </c>
      <c r="AU57" s="174" t="s">
        <v>20</v>
      </c>
      <c r="AV57" s="174" t="s">
        <v>20</v>
      </c>
      <c r="AW57" s="174" t="s">
        <v>20</v>
      </c>
      <c r="AX57" s="174" t="s">
        <v>20</v>
      </c>
      <c r="AY57" s="174" t="s">
        <v>20</v>
      </c>
      <c r="AZ57" s="174" t="s">
        <v>20</v>
      </c>
      <c r="BA57" s="174" t="s">
        <v>20</v>
      </c>
      <c r="BB57" s="174" t="s">
        <v>20</v>
      </c>
      <c r="BC57" s="174" t="s">
        <v>16</v>
      </c>
      <c r="BD57" s="70" t="s">
        <v>861</v>
      </c>
      <c r="BE57" s="70"/>
    </row>
    <row r="58" spans="1:57" x14ac:dyDescent="0.25">
      <c r="A58" s="217" t="s">
        <v>134</v>
      </c>
      <c r="B58" s="218" t="s">
        <v>169</v>
      </c>
      <c r="C58" s="174" t="s">
        <v>182</v>
      </c>
      <c r="D58" s="225" t="s">
        <v>182</v>
      </c>
      <c r="E58" s="173">
        <v>6000</v>
      </c>
      <c r="F58" s="174" t="s">
        <v>20</v>
      </c>
      <c r="G58" s="56" t="s">
        <v>20</v>
      </c>
      <c r="H58" s="73" t="s">
        <v>182</v>
      </c>
      <c r="I58" s="174" t="s">
        <v>182</v>
      </c>
      <c r="J58" s="174" t="s">
        <v>16</v>
      </c>
      <c r="K58" s="285" t="s">
        <v>16</v>
      </c>
      <c r="L58" s="285" t="s">
        <v>16</v>
      </c>
      <c r="M58" s="285" t="s">
        <v>16</v>
      </c>
      <c r="N58" s="285" t="s">
        <v>16</v>
      </c>
      <c r="O58" s="285" t="s">
        <v>16</v>
      </c>
      <c r="P58" s="285" t="s">
        <v>16</v>
      </c>
      <c r="Q58" s="285" t="s">
        <v>16</v>
      </c>
      <c r="R58" s="174" t="s">
        <v>16</v>
      </c>
      <c r="S58" s="174" t="s">
        <v>16</v>
      </c>
      <c r="T58" s="174" t="s">
        <v>16</v>
      </c>
      <c r="U58" s="174" t="s">
        <v>16</v>
      </c>
      <c r="V58" s="174" t="s">
        <v>16</v>
      </c>
      <c r="W58" s="174" t="s">
        <v>16</v>
      </c>
      <c r="X58" s="56" t="s">
        <v>16</v>
      </c>
      <c r="Y58" s="73" t="s">
        <v>16</v>
      </c>
      <c r="Z58" s="174" t="s">
        <v>16</v>
      </c>
      <c r="AA58" s="56" t="s">
        <v>16</v>
      </c>
      <c r="AB58" s="73" t="s">
        <v>16</v>
      </c>
      <c r="AC58" s="174" t="s">
        <v>16</v>
      </c>
      <c r="AD58" s="250">
        <v>0.28000000000000003</v>
      </c>
      <c r="AE58" s="250">
        <v>0.32</v>
      </c>
      <c r="AF58" s="174" t="s">
        <v>16</v>
      </c>
      <c r="AG58" s="250">
        <v>0.44</v>
      </c>
      <c r="AH58" s="174" t="s">
        <v>16</v>
      </c>
      <c r="AI58" s="56" t="s">
        <v>16</v>
      </c>
      <c r="AJ58" s="73" t="s">
        <v>182</v>
      </c>
      <c r="AK58" s="174" t="s">
        <v>182</v>
      </c>
      <c r="AL58" s="174" t="s">
        <v>16</v>
      </c>
      <c r="AM58" s="174" t="s">
        <v>16</v>
      </c>
      <c r="AN58" s="73" t="s">
        <v>859</v>
      </c>
      <c r="AO58" s="223" t="s">
        <v>894</v>
      </c>
      <c r="AP58" s="239" t="s">
        <v>465</v>
      </c>
      <c r="AQ58" s="106" t="s">
        <v>897</v>
      </c>
      <c r="AR58" s="73" t="s">
        <v>182</v>
      </c>
      <c r="AS58" s="174" t="s">
        <v>20</v>
      </c>
      <c r="AT58" s="174" t="s">
        <v>20</v>
      </c>
      <c r="AU58" s="174" t="s">
        <v>20</v>
      </c>
      <c r="AV58" s="174" t="s">
        <v>20</v>
      </c>
      <c r="AW58" s="174" t="s">
        <v>20</v>
      </c>
      <c r="AX58" s="174" t="s">
        <v>20</v>
      </c>
      <c r="AY58" s="174" t="s">
        <v>20</v>
      </c>
      <c r="AZ58" s="174" t="s">
        <v>20</v>
      </c>
      <c r="BA58" s="174" t="s">
        <v>20</v>
      </c>
      <c r="BB58" s="174" t="s">
        <v>20</v>
      </c>
      <c r="BC58" s="174" t="s">
        <v>16</v>
      </c>
      <c r="BD58" s="70" t="s">
        <v>877</v>
      </c>
      <c r="BE58" s="70"/>
    </row>
    <row r="59" spans="1:57" x14ac:dyDescent="0.25">
      <c r="A59" s="217" t="s">
        <v>135</v>
      </c>
      <c r="B59" s="218" t="s">
        <v>54</v>
      </c>
      <c r="C59" s="174" t="s">
        <v>16</v>
      </c>
      <c r="D59" s="225" t="s">
        <v>182</v>
      </c>
      <c r="E59" s="173">
        <v>5092</v>
      </c>
      <c r="F59" s="174" t="s">
        <v>20</v>
      </c>
      <c r="G59" s="56">
        <v>207</v>
      </c>
      <c r="H59" s="73" t="s">
        <v>16</v>
      </c>
      <c r="I59" s="250">
        <v>1</v>
      </c>
      <c r="J59" s="174" t="s">
        <v>16</v>
      </c>
      <c r="K59" s="285" t="s">
        <v>16</v>
      </c>
      <c r="L59" s="285" t="s">
        <v>16</v>
      </c>
      <c r="M59" s="285" t="s">
        <v>16</v>
      </c>
      <c r="N59" s="285" t="s">
        <v>16</v>
      </c>
      <c r="O59" s="285" t="s">
        <v>16</v>
      </c>
      <c r="P59" s="285" t="s">
        <v>16</v>
      </c>
      <c r="Q59" s="285" t="s">
        <v>16</v>
      </c>
      <c r="R59" s="174" t="s">
        <v>16</v>
      </c>
      <c r="S59" s="174" t="s">
        <v>16</v>
      </c>
      <c r="T59" s="174" t="s">
        <v>16</v>
      </c>
      <c r="U59" s="174" t="s">
        <v>16</v>
      </c>
      <c r="V59" s="174" t="s">
        <v>16</v>
      </c>
      <c r="W59" s="174" t="s">
        <v>16</v>
      </c>
      <c r="X59" s="56">
        <v>207</v>
      </c>
      <c r="Y59" s="58">
        <v>0.60899999999999999</v>
      </c>
      <c r="Z59" s="250">
        <v>0.39100000000000001</v>
      </c>
      <c r="AA59" s="56">
        <v>207</v>
      </c>
      <c r="AB59" s="73" t="s">
        <v>16</v>
      </c>
      <c r="AC59" s="174" t="s">
        <v>16</v>
      </c>
      <c r="AD59" s="174" t="s">
        <v>16</v>
      </c>
      <c r="AE59" s="250">
        <v>1</v>
      </c>
      <c r="AF59" s="174" t="s">
        <v>16</v>
      </c>
      <c r="AG59" s="174" t="s">
        <v>16</v>
      </c>
      <c r="AH59" s="174" t="s">
        <v>16</v>
      </c>
      <c r="AI59" s="56" t="s">
        <v>16</v>
      </c>
      <c r="AJ59" s="73" t="s">
        <v>16</v>
      </c>
      <c r="AK59" s="250">
        <v>1</v>
      </c>
      <c r="AL59" s="174" t="s">
        <v>16</v>
      </c>
      <c r="AM59" s="174">
        <v>207</v>
      </c>
      <c r="AN59" s="73" t="s">
        <v>50</v>
      </c>
      <c r="AO59" s="223" t="s">
        <v>393</v>
      </c>
      <c r="AP59" s="239" t="s">
        <v>480</v>
      </c>
      <c r="AQ59" s="56" t="s">
        <v>16</v>
      </c>
      <c r="AR59" s="73" t="s">
        <v>182</v>
      </c>
      <c r="AS59" s="174" t="s">
        <v>16</v>
      </c>
      <c r="AT59" s="174" t="s">
        <v>16</v>
      </c>
      <c r="AU59" s="174" t="s">
        <v>16</v>
      </c>
      <c r="AV59" s="174" t="s">
        <v>16</v>
      </c>
      <c r="AW59" s="176">
        <v>0.94199999999999995</v>
      </c>
      <c r="AX59" s="176">
        <v>5.8000000000000003E-2</v>
      </c>
      <c r="AY59" s="174" t="s">
        <v>16</v>
      </c>
      <c r="AZ59" s="174">
        <v>207</v>
      </c>
      <c r="BA59" s="250" t="s">
        <v>20</v>
      </c>
      <c r="BB59" s="250" t="s">
        <v>20</v>
      </c>
      <c r="BC59" s="174" t="s">
        <v>16</v>
      </c>
      <c r="BD59" s="70" t="s">
        <v>898</v>
      </c>
      <c r="BE59" s="70"/>
    </row>
    <row r="60" spans="1:57" x14ac:dyDescent="0.25">
      <c r="A60" s="217" t="s">
        <v>136</v>
      </c>
      <c r="B60" s="218" t="s">
        <v>54</v>
      </c>
      <c r="C60" s="174" t="s">
        <v>16</v>
      </c>
      <c r="D60" s="225" t="s">
        <v>182</v>
      </c>
      <c r="E60" s="173">
        <v>19004</v>
      </c>
      <c r="F60" s="173" t="s">
        <v>20</v>
      </c>
      <c r="G60" s="55" t="s">
        <v>20</v>
      </c>
      <c r="H60" s="73" t="s">
        <v>182</v>
      </c>
      <c r="I60" s="174" t="s">
        <v>182</v>
      </c>
      <c r="J60" s="174" t="s">
        <v>16</v>
      </c>
      <c r="K60" s="285" t="s">
        <v>182</v>
      </c>
      <c r="L60" s="285" t="s">
        <v>16</v>
      </c>
      <c r="M60" s="285" t="s">
        <v>16</v>
      </c>
      <c r="N60" s="285" t="s">
        <v>16</v>
      </c>
      <c r="O60" s="285" t="s">
        <v>16</v>
      </c>
      <c r="P60" s="285" t="s">
        <v>16</v>
      </c>
      <c r="Q60" s="285" t="s">
        <v>16</v>
      </c>
      <c r="R60" s="174" t="s">
        <v>16</v>
      </c>
      <c r="S60" s="174" t="s">
        <v>16</v>
      </c>
      <c r="T60" s="174" t="s">
        <v>16</v>
      </c>
      <c r="U60" s="174" t="s">
        <v>16</v>
      </c>
      <c r="V60" s="174" t="s">
        <v>16</v>
      </c>
      <c r="W60" s="174" t="s">
        <v>16</v>
      </c>
      <c r="X60" s="56" t="s">
        <v>16</v>
      </c>
      <c r="Y60" s="58">
        <v>0.53900000000000003</v>
      </c>
      <c r="Z60" s="250">
        <v>0.46100000000000002</v>
      </c>
      <c r="AA60" s="55">
        <v>2000</v>
      </c>
      <c r="AB60" s="73" t="s">
        <v>16</v>
      </c>
      <c r="AC60" s="250">
        <v>0.998</v>
      </c>
      <c r="AD60" s="250">
        <f>1/2000</f>
        <v>5.0000000000000001E-4</v>
      </c>
      <c r="AE60" s="174" t="s">
        <v>16</v>
      </c>
      <c r="AF60" s="174" t="s">
        <v>16</v>
      </c>
      <c r="AG60" s="250">
        <f>4/2000</f>
        <v>2E-3</v>
      </c>
      <c r="AH60" s="174" t="s">
        <v>16</v>
      </c>
      <c r="AI60" s="55">
        <v>2000</v>
      </c>
      <c r="AJ60" s="58">
        <v>2E-3</v>
      </c>
      <c r="AK60" s="250">
        <v>0.998</v>
      </c>
      <c r="AL60" s="250" t="s">
        <v>16</v>
      </c>
      <c r="AM60" s="173">
        <v>2000</v>
      </c>
      <c r="AN60" s="73" t="s">
        <v>50</v>
      </c>
      <c r="AO60" s="106" t="s">
        <v>419</v>
      </c>
      <c r="AP60" s="239" t="s">
        <v>461</v>
      </c>
      <c r="AQ60" s="56" t="s">
        <v>16</v>
      </c>
      <c r="AR60" s="73" t="s">
        <v>182</v>
      </c>
      <c r="AS60" s="176">
        <v>2E-3</v>
      </c>
      <c r="AT60" s="176">
        <v>7.4999999999999997E-2</v>
      </c>
      <c r="AU60" s="176">
        <v>2.1000000000000001E-2</v>
      </c>
      <c r="AV60" s="176">
        <v>0.504</v>
      </c>
      <c r="AW60" s="176">
        <v>0.35</v>
      </c>
      <c r="AX60" s="176">
        <v>0.05</v>
      </c>
      <c r="AY60" s="176" t="s">
        <v>16</v>
      </c>
      <c r="AZ60" s="173">
        <v>2000</v>
      </c>
      <c r="BA60" s="250" t="s">
        <v>20</v>
      </c>
      <c r="BB60" s="250" t="s">
        <v>20</v>
      </c>
      <c r="BC60" s="174" t="s">
        <v>16</v>
      </c>
      <c r="BD60" s="70" t="s">
        <v>418</v>
      </c>
      <c r="BE60" s="70"/>
    </row>
    <row r="61" spans="1:57" x14ac:dyDescent="0.25">
      <c r="A61" s="217" t="s">
        <v>137</v>
      </c>
      <c r="B61" s="218" t="s">
        <v>901</v>
      </c>
      <c r="C61" s="174" t="s">
        <v>182</v>
      </c>
      <c r="D61" s="225" t="s">
        <v>182</v>
      </c>
      <c r="E61" s="174">
        <f>7449+302+779</f>
        <v>8530</v>
      </c>
      <c r="F61" s="174">
        <f>7449+302+779</f>
        <v>8530</v>
      </c>
      <c r="G61" s="56" t="s">
        <v>20</v>
      </c>
      <c r="H61" s="73" t="s">
        <v>16</v>
      </c>
      <c r="I61" s="174" t="s">
        <v>16</v>
      </c>
      <c r="J61" s="174" t="s">
        <v>16</v>
      </c>
      <c r="K61" s="285" t="s">
        <v>16</v>
      </c>
      <c r="L61" s="285">
        <v>302</v>
      </c>
      <c r="M61" s="285" t="s">
        <v>16</v>
      </c>
      <c r="N61" s="285" t="s">
        <v>16</v>
      </c>
      <c r="O61" s="285" t="s">
        <v>16</v>
      </c>
      <c r="P61" s="285" t="s">
        <v>16</v>
      </c>
      <c r="Q61" s="285" t="s">
        <v>16</v>
      </c>
      <c r="R61" s="174" t="s">
        <v>16</v>
      </c>
      <c r="S61" s="174" t="s">
        <v>16</v>
      </c>
      <c r="T61" s="174" t="s">
        <v>16</v>
      </c>
      <c r="U61" s="249">
        <v>779</v>
      </c>
      <c r="V61" s="251">
        <v>7449</v>
      </c>
      <c r="W61" s="174" t="s">
        <v>16</v>
      </c>
      <c r="X61" s="56">
        <f>7449+302+779</f>
        <v>8530</v>
      </c>
      <c r="Y61" s="58">
        <f>(4778+242+560)/Tabela1[[#This Row],[Total of samples (N)     ]]</f>
        <v>0.65416178194607266</v>
      </c>
      <c r="Z61" s="259">
        <f>1-Tabela1[[#This Row],[Nº of females]]</f>
        <v>0.34583821805392734</v>
      </c>
      <c r="AA61" s="223">
        <f>4778+2671+242+60+560+219</f>
        <v>8530</v>
      </c>
      <c r="AB61" s="73" t="s">
        <v>16</v>
      </c>
      <c r="AC61" s="174" t="s">
        <v>16</v>
      </c>
      <c r="AD61" s="174" t="s">
        <v>182</v>
      </c>
      <c r="AE61" s="174" t="s">
        <v>16</v>
      </c>
      <c r="AF61" s="174" t="s">
        <v>16</v>
      </c>
      <c r="AG61" s="174" t="s">
        <v>16</v>
      </c>
      <c r="AH61" s="174" t="s">
        <v>16</v>
      </c>
      <c r="AI61" s="56" t="s">
        <v>16</v>
      </c>
      <c r="AJ61" s="73" t="s">
        <v>16</v>
      </c>
      <c r="AK61" s="174" t="s">
        <v>16</v>
      </c>
      <c r="AL61" s="174" t="s">
        <v>16</v>
      </c>
      <c r="AM61" s="174" t="s">
        <v>16</v>
      </c>
      <c r="AN61" s="73" t="s">
        <v>859</v>
      </c>
      <c r="AO61" s="223" t="s">
        <v>899</v>
      </c>
      <c r="AP61" s="239" t="s">
        <v>509</v>
      </c>
      <c r="AQ61" s="106" t="s">
        <v>658</v>
      </c>
      <c r="AR61" s="73" t="s">
        <v>182</v>
      </c>
      <c r="AS61" s="174" t="s">
        <v>20</v>
      </c>
      <c r="AT61" s="174" t="s">
        <v>20</v>
      </c>
      <c r="AU61" s="174" t="s">
        <v>20</v>
      </c>
      <c r="AV61" s="174" t="s">
        <v>20</v>
      </c>
      <c r="AW61" s="174" t="s">
        <v>20</v>
      </c>
      <c r="AX61" s="174" t="s">
        <v>20</v>
      </c>
      <c r="AY61" s="174" t="s">
        <v>20</v>
      </c>
      <c r="AZ61" s="174" t="s">
        <v>20</v>
      </c>
      <c r="BA61" s="174" t="s">
        <v>20</v>
      </c>
      <c r="BB61" s="174" t="s">
        <v>20</v>
      </c>
      <c r="BC61" s="174" t="s">
        <v>20</v>
      </c>
      <c r="BD61" s="70" t="s">
        <v>900</v>
      </c>
      <c r="BE61" s="70"/>
    </row>
    <row r="62" spans="1:57" x14ac:dyDescent="0.25">
      <c r="A62" s="217" t="s">
        <v>53</v>
      </c>
      <c r="B62" s="218" t="s">
        <v>54</v>
      </c>
      <c r="C62" s="174"/>
      <c r="D62" s="225" t="s">
        <v>182</v>
      </c>
      <c r="E62" s="174"/>
      <c r="F62" s="174"/>
      <c r="G62" s="56"/>
      <c r="H62" s="73"/>
      <c r="I62" s="174"/>
      <c r="J62" s="174"/>
      <c r="K62" s="285"/>
      <c r="L62" s="285"/>
      <c r="M62" s="285" t="s">
        <v>16</v>
      </c>
      <c r="N62" s="285"/>
      <c r="O62" s="285"/>
      <c r="P62" s="285"/>
      <c r="Q62" s="285"/>
      <c r="R62" s="174"/>
      <c r="S62" s="174"/>
      <c r="T62" s="174"/>
      <c r="U62" s="174"/>
      <c r="V62" s="174"/>
      <c r="W62" s="174"/>
      <c r="X62" s="56"/>
      <c r="Y62" s="73"/>
      <c r="Z62" s="238"/>
      <c r="AA62" s="223">
        <f>SUM(Tabela1[[#This Row],[Nº of females]:[Nº of males]])</f>
        <v>0</v>
      </c>
      <c r="AB62" s="73"/>
      <c r="AC62" s="174"/>
      <c r="AD62" s="174"/>
      <c r="AE62" s="174"/>
      <c r="AF62" s="174"/>
      <c r="AG62" s="174"/>
      <c r="AH62" s="174"/>
      <c r="AI62" s="56"/>
      <c r="AJ62" s="73"/>
      <c r="AK62" s="174"/>
      <c r="AL62" s="174"/>
      <c r="AM62" s="174"/>
      <c r="AN62" s="73" t="s">
        <v>25</v>
      </c>
      <c r="AO62" s="223"/>
      <c r="AP62" s="239"/>
      <c r="AQ62" s="56"/>
      <c r="AR62" s="73"/>
      <c r="AS62" s="174"/>
      <c r="AT62" s="174"/>
      <c r="AU62" s="174"/>
      <c r="AV62" s="174"/>
      <c r="AW62" s="174"/>
      <c r="AX62" s="174"/>
      <c r="AY62" s="174"/>
      <c r="AZ62" s="174"/>
      <c r="BA62" s="250"/>
      <c r="BB62" s="250"/>
      <c r="BC62" s="174"/>
      <c r="BD62" s="70"/>
      <c r="BE62" s="70"/>
    </row>
    <row r="63" spans="1:57" x14ac:dyDescent="0.25">
      <c r="A63" s="217" t="s">
        <v>138</v>
      </c>
      <c r="B63" s="218" t="s">
        <v>170</v>
      </c>
      <c r="C63" s="219" t="s">
        <v>182</v>
      </c>
      <c r="D63" s="225" t="s">
        <v>182</v>
      </c>
      <c r="E63" s="174">
        <v>960</v>
      </c>
      <c r="F63" s="173">
        <v>1008</v>
      </c>
      <c r="G63" s="56" t="s">
        <v>20</v>
      </c>
      <c r="H63" s="73" t="s">
        <v>16</v>
      </c>
      <c r="I63" s="174" t="s">
        <v>16</v>
      </c>
      <c r="J63" s="174" t="s">
        <v>16</v>
      </c>
      <c r="K63" s="285" t="s">
        <v>16</v>
      </c>
      <c r="L63" s="285" t="s">
        <v>16</v>
      </c>
      <c r="M63" s="285" t="s">
        <v>16</v>
      </c>
      <c r="N63" s="285" t="s">
        <v>16</v>
      </c>
      <c r="O63" s="285" t="s">
        <v>16</v>
      </c>
      <c r="P63" s="285" t="s">
        <v>16</v>
      </c>
      <c r="Q63" s="285" t="s">
        <v>16</v>
      </c>
      <c r="R63" s="174" t="s">
        <v>16</v>
      </c>
      <c r="S63" s="174" t="s">
        <v>16</v>
      </c>
      <c r="T63" s="174" t="s">
        <v>16</v>
      </c>
      <c r="U63" s="174" t="s">
        <v>16</v>
      </c>
      <c r="V63" s="174" t="s">
        <v>16</v>
      </c>
      <c r="W63" s="249">
        <v>993</v>
      </c>
      <c r="X63" s="56">
        <v>993</v>
      </c>
      <c r="Y63" s="58">
        <v>0.55500000000000005</v>
      </c>
      <c r="Z63" s="263">
        <v>0.44500000000000001</v>
      </c>
      <c r="AA63" s="223">
        <f>551+442</f>
        <v>993</v>
      </c>
      <c r="AB63" s="73" t="s">
        <v>16</v>
      </c>
      <c r="AC63" s="250">
        <v>1</v>
      </c>
      <c r="AD63" s="174" t="s">
        <v>16</v>
      </c>
      <c r="AE63" s="174" t="s">
        <v>16</v>
      </c>
      <c r="AF63" s="174" t="s">
        <v>16</v>
      </c>
      <c r="AG63" s="174" t="s">
        <v>16</v>
      </c>
      <c r="AH63" s="174" t="s">
        <v>16</v>
      </c>
      <c r="AI63" s="56" t="s">
        <v>16</v>
      </c>
      <c r="AJ63" s="73" t="s">
        <v>16</v>
      </c>
      <c r="AK63" s="250">
        <v>1</v>
      </c>
      <c r="AL63" s="174" t="s">
        <v>16</v>
      </c>
      <c r="AM63" s="174">
        <v>993</v>
      </c>
      <c r="AN63" s="73" t="s">
        <v>902</v>
      </c>
      <c r="AO63" s="56" t="s">
        <v>903</v>
      </c>
      <c r="AP63" s="239" t="s">
        <v>904</v>
      </c>
      <c r="AQ63" s="56" t="s">
        <v>16</v>
      </c>
      <c r="AR63" s="73" t="s">
        <v>182</v>
      </c>
      <c r="AS63" s="174" t="s">
        <v>20</v>
      </c>
      <c r="AT63" s="174" t="s">
        <v>20</v>
      </c>
      <c r="AU63" s="174" t="s">
        <v>20</v>
      </c>
      <c r="AV63" s="174" t="s">
        <v>20</v>
      </c>
      <c r="AW63" s="174" t="s">
        <v>20</v>
      </c>
      <c r="AX63" s="174" t="s">
        <v>20</v>
      </c>
      <c r="AY63" s="250">
        <v>1</v>
      </c>
      <c r="AZ63" s="174">
        <v>993</v>
      </c>
      <c r="BA63" s="174" t="s">
        <v>20</v>
      </c>
      <c r="BB63" s="174" t="s">
        <v>20</v>
      </c>
      <c r="BC63" s="174" t="s">
        <v>20</v>
      </c>
      <c r="BD63" s="70" t="s">
        <v>905</v>
      </c>
      <c r="BE63" s="70"/>
    </row>
    <row r="64" spans="1:57" x14ac:dyDescent="0.25">
      <c r="A64" s="217" t="s">
        <v>139</v>
      </c>
      <c r="B64" s="218" t="s">
        <v>54</v>
      </c>
      <c r="C64" s="174" t="s">
        <v>16</v>
      </c>
      <c r="D64" s="225" t="s">
        <v>182</v>
      </c>
      <c r="E64" s="173">
        <v>2680</v>
      </c>
      <c r="F64" s="173">
        <v>2680</v>
      </c>
      <c r="G64" s="56" t="s">
        <v>20</v>
      </c>
      <c r="H64" s="73" t="s">
        <v>16</v>
      </c>
      <c r="I64" s="174" t="s">
        <v>182</v>
      </c>
      <c r="J64" s="174" t="s">
        <v>16</v>
      </c>
      <c r="K64" s="285" t="s">
        <v>16</v>
      </c>
      <c r="L64" s="285" t="s">
        <v>16</v>
      </c>
      <c r="M64" s="285" t="s">
        <v>16</v>
      </c>
      <c r="N64" s="285" t="s">
        <v>16</v>
      </c>
      <c r="O64" s="285" t="s">
        <v>16</v>
      </c>
      <c r="P64" s="285" t="s">
        <v>16</v>
      </c>
      <c r="Q64" s="285" t="s">
        <v>16</v>
      </c>
      <c r="R64" s="174" t="s">
        <v>16</v>
      </c>
      <c r="S64" s="174" t="s">
        <v>16</v>
      </c>
      <c r="T64" s="174" t="s">
        <v>16</v>
      </c>
      <c r="U64" s="174" t="s">
        <v>16</v>
      </c>
      <c r="V64" s="174" t="s">
        <v>16</v>
      </c>
      <c r="W64" s="174" t="s">
        <v>16</v>
      </c>
      <c r="X64" s="56" t="s">
        <v>16</v>
      </c>
      <c r="Y64" s="73" t="s">
        <v>16</v>
      </c>
      <c r="Z64" s="174" t="s">
        <v>16</v>
      </c>
      <c r="AA64" s="56" t="s">
        <v>16</v>
      </c>
      <c r="AB64" s="73" t="s">
        <v>16</v>
      </c>
      <c r="AC64" s="174" t="s">
        <v>16</v>
      </c>
      <c r="AD64" s="174" t="s">
        <v>16</v>
      </c>
      <c r="AE64" s="174" t="s">
        <v>16</v>
      </c>
      <c r="AF64" s="174" t="s">
        <v>16</v>
      </c>
      <c r="AG64" s="174" t="s">
        <v>16</v>
      </c>
      <c r="AH64" s="174" t="s">
        <v>16</v>
      </c>
      <c r="AI64" s="56" t="s">
        <v>16</v>
      </c>
      <c r="AJ64" s="73" t="s">
        <v>16</v>
      </c>
      <c r="AK64" s="174" t="s">
        <v>16</v>
      </c>
      <c r="AL64" s="174" t="s">
        <v>16</v>
      </c>
      <c r="AM64" s="174" t="s">
        <v>16</v>
      </c>
      <c r="AN64" s="73" t="s">
        <v>50</v>
      </c>
      <c r="AO64" s="223" t="s">
        <v>392</v>
      </c>
      <c r="AP64" s="239" t="s">
        <v>509</v>
      </c>
      <c r="AQ64" s="56" t="s">
        <v>16</v>
      </c>
      <c r="AR64" s="73" t="s">
        <v>182</v>
      </c>
      <c r="AS64" s="174" t="s">
        <v>20</v>
      </c>
      <c r="AT64" s="174" t="s">
        <v>20</v>
      </c>
      <c r="AU64" s="174" t="s">
        <v>20</v>
      </c>
      <c r="AV64" s="174" t="s">
        <v>20</v>
      </c>
      <c r="AW64" s="174" t="s">
        <v>20</v>
      </c>
      <c r="AX64" s="174" t="s">
        <v>20</v>
      </c>
      <c r="AY64" s="174" t="s">
        <v>20</v>
      </c>
      <c r="AZ64" s="174" t="s">
        <v>20</v>
      </c>
      <c r="BA64" s="174" t="s">
        <v>20</v>
      </c>
      <c r="BB64" s="174" t="s">
        <v>20</v>
      </c>
      <c r="BC64" s="174" t="s">
        <v>20</v>
      </c>
      <c r="BD64" s="70" t="s">
        <v>243</v>
      </c>
      <c r="BE64" s="70"/>
    </row>
    <row r="65" spans="1:57" x14ac:dyDescent="0.25">
      <c r="A65" s="217" t="s">
        <v>140</v>
      </c>
      <c r="B65" s="218" t="s">
        <v>54</v>
      </c>
      <c r="C65" s="174" t="s">
        <v>16</v>
      </c>
      <c r="D65" s="225" t="s">
        <v>182</v>
      </c>
      <c r="E65" s="173">
        <v>1100</v>
      </c>
      <c r="F65" s="174" t="s">
        <v>20</v>
      </c>
      <c r="G65" s="56" t="s">
        <v>20</v>
      </c>
      <c r="H65" s="73" t="s">
        <v>16</v>
      </c>
      <c r="I65" s="174" t="s">
        <v>16</v>
      </c>
      <c r="J65" s="174" t="s">
        <v>16</v>
      </c>
      <c r="K65" s="285" t="s">
        <v>16</v>
      </c>
      <c r="L65" s="285" t="s">
        <v>16</v>
      </c>
      <c r="M65" s="285" t="s">
        <v>16</v>
      </c>
      <c r="N65" s="285" t="s">
        <v>16</v>
      </c>
      <c r="O65" s="285" t="s">
        <v>16</v>
      </c>
      <c r="P65" s="285" t="s">
        <v>16</v>
      </c>
      <c r="Q65" s="285" t="s">
        <v>16</v>
      </c>
      <c r="R65" s="174" t="s">
        <v>16</v>
      </c>
      <c r="S65" s="174" t="s">
        <v>16</v>
      </c>
      <c r="T65" s="174" t="s">
        <v>16</v>
      </c>
      <c r="U65" s="174" t="s">
        <v>16</v>
      </c>
      <c r="V65" s="174" t="s">
        <v>16</v>
      </c>
      <c r="W65" s="174" t="s">
        <v>16</v>
      </c>
      <c r="X65" s="56" t="s">
        <v>16</v>
      </c>
      <c r="Y65" s="73" t="s">
        <v>16</v>
      </c>
      <c r="Z65" s="174" t="s">
        <v>16</v>
      </c>
      <c r="AA65" s="56" t="s">
        <v>16</v>
      </c>
      <c r="AB65" s="73" t="s">
        <v>16</v>
      </c>
      <c r="AC65" s="174" t="s">
        <v>16</v>
      </c>
      <c r="AD65" s="174" t="s">
        <v>16</v>
      </c>
      <c r="AE65" s="174" t="s">
        <v>16</v>
      </c>
      <c r="AF65" s="174" t="s">
        <v>16</v>
      </c>
      <c r="AG65" s="174" t="s">
        <v>16</v>
      </c>
      <c r="AH65" s="174" t="s">
        <v>16</v>
      </c>
      <c r="AI65" s="56" t="s">
        <v>16</v>
      </c>
      <c r="AJ65" s="73" t="s">
        <v>16</v>
      </c>
      <c r="AK65" s="174" t="s">
        <v>16</v>
      </c>
      <c r="AL65" s="174" t="s">
        <v>16</v>
      </c>
      <c r="AM65" s="174" t="s">
        <v>16</v>
      </c>
      <c r="AN65" s="73" t="s">
        <v>50</v>
      </c>
      <c r="AO65" s="106" t="s">
        <v>392</v>
      </c>
      <c r="AP65" s="239" t="s">
        <v>509</v>
      </c>
      <c r="AQ65" s="56" t="s">
        <v>16</v>
      </c>
      <c r="AR65" s="73" t="s">
        <v>182</v>
      </c>
      <c r="AS65" s="174" t="s">
        <v>20</v>
      </c>
      <c r="AT65" s="174" t="s">
        <v>20</v>
      </c>
      <c r="AU65" s="174" t="s">
        <v>20</v>
      </c>
      <c r="AV65" s="174" t="s">
        <v>20</v>
      </c>
      <c r="AW65" s="174" t="s">
        <v>20</v>
      </c>
      <c r="AX65" s="174" t="s">
        <v>20</v>
      </c>
      <c r="AY65" s="174" t="s">
        <v>20</v>
      </c>
      <c r="AZ65" s="174" t="s">
        <v>20</v>
      </c>
      <c r="BA65" s="174" t="s">
        <v>20</v>
      </c>
      <c r="BB65" s="174" t="s">
        <v>20</v>
      </c>
      <c r="BC65" s="174" t="s">
        <v>20</v>
      </c>
      <c r="BD65" s="70" t="s">
        <v>243</v>
      </c>
      <c r="BE65" s="70"/>
    </row>
    <row r="66" spans="1:57" x14ac:dyDescent="0.25">
      <c r="A66" s="217" t="s">
        <v>141</v>
      </c>
      <c r="B66" s="218" t="s">
        <v>54</v>
      </c>
      <c r="C66" s="174" t="s">
        <v>16</v>
      </c>
      <c r="D66" s="225" t="s">
        <v>182</v>
      </c>
      <c r="E66" s="174" t="s">
        <v>20</v>
      </c>
      <c r="F66" s="174" t="s">
        <v>20</v>
      </c>
      <c r="G66" s="56" t="s">
        <v>20</v>
      </c>
      <c r="H66" s="73" t="s">
        <v>16</v>
      </c>
      <c r="I66" s="174" t="s">
        <v>16</v>
      </c>
      <c r="J66" s="174" t="s">
        <v>16</v>
      </c>
      <c r="K66" s="174" t="s">
        <v>16</v>
      </c>
      <c r="L66" s="174" t="s">
        <v>16</v>
      </c>
      <c r="M66" s="174" t="s">
        <v>16</v>
      </c>
      <c r="N66" s="174" t="s">
        <v>16</v>
      </c>
      <c r="O66" s="174" t="s">
        <v>16</v>
      </c>
      <c r="P66" s="174" t="s">
        <v>16</v>
      </c>
      <c r="Q66" s="174" t="s">
        <v>16</v>
      </c>
      <c r="R66" s="174" t="s">
        <v>16</v>
      </c>
      <c r="S66" s="174" t="s">
        <v>16</v>
      </c>
      <c r="T66" s="174" t="s">
        <v>16</v>
      </c>
      <c r="U66" s="174" t="s">
        <v>16</v>
      </c>
      <c r="V66" s="174" t="s">
        <v>16</v>
      </c>
      <c r="W66" s="174" t="s">
        <v>16</v>
      </c>
      <c r="X66" s="56" t="s">
        <v>16</v>
      </c>
      <c r="Y66" s="73" t="s">
        <v>16</v>
      </c>
      <c r="Z66" s="174" t="s">
        <v>16</v>
      </c>
      <c r="AA66" s="56" t="s">
        <v>16</v>
      </c>
      <c r="AB66" s="73" t="s">
        <v>16</v>
      </c>
      <c r="AC66" s="174" t="s">
        <v>16</v>
      </c>
      <c r="AD66" s="174" t="s">
        <v>16</v>
      </c>
      <c r="AE66" s="174" t="s">
        <v>16</v>
      </c>
      <c r="AF66" s="174" t="s">
        <v>16</v>
      </c>
      <c r="AG66" s="174" t="s">
        <v>16</v>
      </c>
      <c r="AH66" s="174" t="s">
        <v>16</v>
      </c>
      <c r="AI66" s="56" t="s">
        <v>16</v>
      </c>
      <c r="AJ66" s="73" t="s">
        <v>16</v>
      </c>
      <c r="AK66" s="174" t="s">
        <v>16</v>
      </c>
      <c r="AL66" s="174" t="s">
        <v>16</v>
      </c>
      <c r="AM66" s="174" t="s">
        <v>16</v>
      </c>
      <c r="AN66" s="73" t="s">
        <v>50</v>
      </c>
      <c r="AO66" s="106" t="s">
        <v>392</v>
      </c>
      <c r="AP66" s="239" t="s">
        <v>509</v>
      </c>
      <c r="AQ66" s="56" t="s">
        <v>16</v>
      </c>
      <c r="AR66" s="73" t="s">
        <v>182</v>
      </c>
      <c r="AS66" s="174" t="s">
        <v>20</v>
      </c>
      <c r="AT66" s="174" t="s">
        <v>20</v>
      </c>
      <c r="AU66" s="174" t="s">
        <v>20</v>
      </c>
      <c r="AV66" s="174" t="s">
        <v>20</v>
      </c>
      <c r="AW66" s="174" t="s">
        <v>20</v>
      </c>
      <c r="AX66" s="174" t="s">
        <v>20</v>
      </c>
      <c r="AY66" s="174" t="s">
        <v>20</v>
      </c>
      <c r="AZ66" s="174" t="s">
        <v>20</v>
      </c>
      <c r="BA66" s="174" t="s">
        <v>20</v>
      </c>
      <c r="BB66" s="174" t="s">
        <v>20</v>
      </c>
      <c r="BC66" s="174" t="s">
        <v>20</v>
      </c>
      <c r="BD66" s="70" t="s">
        <v>243</v>
      </c>
      <c r="BE66" s="70"/>
    </row>
    <row r="67" spans="1:57" x14ac:dyDescent="0.25">
      <c r="A67" s="217" t="s">
        <v>142</v>
      </c>
      <c r="B67" s="218" t="s">
        <v>54</v>
      </c>
      <c r="C67" s="174"/>
      <c r="D67" s="225" t="s">
        <v>182</v>
      </c>
      <c r="E67" s="174"/>
      <c r="F67" s="174"/>
      <c r="G67" s="56"/>
      <c r="H67" s="73"/>
      <c r="I67" s="174"/>
      <c r="J67" s="174"/>
      <c r="K67" s="174"/>
      <c r="L67" s="174"/>
      <c r="M67" s="174" t="s">
        <v>16</v>
      </c>
      <c r="N67" s="174"/>
      <c r="O67" s="174"/>
      <c r="P67" s="174"/>
      <c r="Q67" s="174"/>
      <c r="R67" s="174"/>
      <c r="S67" s="174"/>
      <c r="T67" s="174"/>
      <c r="U67" s="174"/>
      <c r="V67" s="174"/>
      <c r="W67" s="174"/>
      <c r="X67" s="56"/>
      <c r="Y67" s="73"/>
      <c r="Z67" s="238"/>
      <c r="AA67" s="223">
        <f>SUM(Tabela1[[#This Row],[Nº of females]:[Nº of males]])</f>
        <v>0</v>
      </c>
      <c r="AB67" s="73"/>
      <c r="AC67" s="174"/>
      <c r="AD67" s="174"/>
      <c r="AE67" s="174"/>
      <c r="AF67" s="174"/>
      <c r="AG67" s="174"/>
      <c r="AH67" s="174"/>
      <c r="AI67" s="56"/>
      <c r="AJ67" s="73"/>
      <c r="AK67" s="174"/>
      <c r="AL67" s="174"/>
      <c r="AM67" s="174"/>
      <c r="AN67" s="73" t="s">
        <v>25</v>
      </c>
      <c r="AO67" s="223"/>
      <c r="AP67" s="239"/>
      <c r="AQ67" s="56"/>
      <c r="AR67" s="73"/>
      <c r="AS67" s="174"/>
      <c r="AT67" s="174"/>
      <c r="AU67" s="174"/>
      <c r="AV67" s="174"/>
      <c r="AW67" s="174"/>
      <c r="AX67" s="174"/>
      <c r="AY67" s="174"/>
      <c r="AZ67" s="174"/>
      <c r="BA67" s="250"/>
      <c r="BB67" s="250"/>
      <c r="BC67" s="174"/>
      <c r="BD67" s="70"/>
      <c r="BE67" s="70"/>
    </row>
    <row r="68" spans="1:57" x14ac:dyDescent="0.25">
      <c r="A68" s="217" t="s">
        <v>55</v>
      </c>
      <c r="B68" s="218" t="s">
        <v>54</v>
      </c>
      <c r="C68" s="174"/>
      <c r="D68" s="225" t="s">
        <v>182</v>
      </c>
      <c r="E68" s="174"/>
      <c r="F68" s="174"/>
      <c r="G68" s="56"/>
      <c r="H68" s="73"/>
      <c r="I68" s="174"/>
      <c r="J68" s="174"/>
      <c r="K68" s="174"/>
      <c r="L68" s="174"/>
      <c r="M68" s="174" t="s">
        <v>16</v>
      </c>
      <c r="N68" s="174"/>
      <c r="O68" s="174"/>
      <c r="P68" s="174"/>
      <c r="Q68" s="174"/>
      <c r="R68" s="174"/>
      <c r="S68" s="174"/>
      <c r="T68" s="174"/>
      <c r="U68" s="174"/>
      <c r="V68" s="174"/>
      <c r="W68" s="174"/>
      <c r="X68" s="56"/>
      <c r="Y68" s="73"/>
      <c r="Z68" s="174"/>
      <c r="AA68" s="56"/>
      <c r="AB68" s="73"/>
      <c r="AC68" s="174"/>
      <c r="AD68" s="174"/>
      <c r="AE68" s="174"/>
      <c r="AF68" s="174"/>
      <c r="AG68" s="174"/>
      <c r="AH68" s="174"/>
      <c r="AI68" s="56"/>
      <c r="AJ68" s="73"/>
      <c r="AK68" s="174"/>
      <c r="AL68" s="174"/>
      <c r="AM68" s="174"/>
      <c r="AN68" s="73"/>
      <c r="AO68" s="223"/>
      <c r="AP68" s="271"/>
      <c r="AQ68" s="270"/>
      <c r="AR68" s="269"/>
      <c r="AS68" s="271"/>
      <c r="AT68" s="271"/>
      <c r="AU68" s="271"/>
      <c r="AV68" s="271"/>
      <c r="AW68" s="271"/>
      <c r="AX68" s="271"/>
      <c r="AY68" s="271"/>
      <c r="AZ68" s="271"/>
      <c r="BA68" s="271"/>
      <c r="BB68" s="271"/>
      <c r="BC68" s="271"/>
      <c r="BD68" s="275"/>
      <c r="BE68" s="70"/>
    </row>
    <row r="69" spans="1:57" x14ac:dyDescent="0.25">
      <c r="A69" s="217" t="s">
        <v>143</v>
      </c>
      <c r="B69" s="218" t="s">
        <v>171</v>
      </c>
      <c r="C69" s="174"/>
      <c r="D69" s="225" t="s">
        <v>182</v>
      </c>
      <c r="E69" s="174"/>
      <c r="F69" s="174"/>
      <c r="G69" s="56"/>
      <c r="H69" s="73"/>
      <c r="I69" s="174"/>
      <c r="J69" s="174"/>
      <c r="K69" s="174"/>
      <c r="L69" s="174"/>
      <c r="M69" s="174" t="s">
        <v>16</v>
      </c>
      <c r="N69" s="174"/>
      <c r="O69" s="174"/>
      <c r="P69" s="174"/>
      <c r="Q69" s="174"/>
      <c r="R69" s="174"/>
      <c r="S69" s="174"/>
      <c r="T69" s="174"/>
      <c r="U69" s="174"/>
      <c r="V69" s="174"/>
      <c r="W69" s="174"/>
      <c r="X69" s="56"/>
      <c r="Y69" s="73"/>
      <c r="Z69" s="238"/>
      <c r="AA69" s="223">
        <f>SUM(Tabela1[[#This Row],[Nº of females]:[Nº of males]])</f>
        <v>0</v>
      </c>
      <c r="AB69" s="73"/>
      <c r="AC69" s="174"/>
      <c r="AD69" s="174"/>
      <c r="AE69" s="174"/>
      <c r="AF69" s="174"/>
      <c r="AG69" s="174"/>
      <c r="AH69" s="174"/>
      <c r="AI69" s="56"/>
      <c r="AJ69" s="73"/>
      <c r="AK69" s="174"/>
      <c r="AL69" s="174"/>
      <c r="AM69" s="174"/>
      <c r="AN69" s="73" t="s">
        <v>25</v>
      </c>
      <c r="AO69" s="223"/>
      <c r="AP69" s="239"/>
      <c r="AQ69" s="56"/>
      <c r="AR69" s="73"/>
      <c r="AS69" s="174"/>
      <c r="AT69" s="174"/>
      <c r="AU69" s="174"/>
      <c r="AV69" s="174"/>
      <c r="AW69" s="174"/>
      <c r="AX69" s="174"/>
      <c r="AY69" s="174"/>
      <c r="AZ69" s="174"/>
      <c r="BA69" s="250"/>
      <c r="BB69" s="250"/>
      <c r="BC69" s="174"/>
      <c r="BD69" s="70"/>
      <c r="BE69" s="70"/>
    </row>
    <row r="70" spans="1:57" x14ac:dyDescent="0.25">
      <c r="A70" s="217" t="s">
        <v>144</v>
      </c>
      <c r="B70" s="218" t="s">
        <v>172</v>
      </c>
      <c r="C70" s="174"/>
      <c r="D70" s="225" t="s">
        <v>182</v>
      </c>
      <c r="E70" s="174"/>
      <c r="F70" s="174"/>
      <c r="G70" s="56"/>
      <c r="H70" s="73"/>
      <c r="I70" s="174"/>
      <c r="J70" s="174"/>
      <c r="K70" s="174"/>
      <c r="L70" s="174"/>
      <c r="M70" s="174" t="s">
        <v>16</v>
      </c>
      <c r="N70" s="174"/>
      <c r="O70" s="174"/>
      <c r="P70" s="174"/>
      <c r="Q70" s="174"/>
      <c r="R70" s="174"/>
      <c r="S70" s="174"/>
      <c r="T70" s="174"/>
      <c r="U70" s="174"/>
      <c r="V70" s="174"/>
      <c r="W70" s="174"/>
      <c r="X70" s="56"/>
      <c r="Y70" s="73"/>
      <c r="Z70" s="238"/>
      <c r="AA70" s="223">
        <f>SUM(Tabela1[[#This Row],[Nº of females]:[Nº of males]])</f>
        <v>0</v>
      </c>
      <c r="AB70" s="73"/>
      <c r="AC70" s="174"/>
      <c r="AD70" s="174"/>
      <c r="AE70" s="174"/>
      <c r="AF70" s="174"/>
      <c r="AG70" s="174"/>
      <c r="AH70" s="174"/>
      <c r="AI70" s="56"/>
      <c r="AJ70" s="73"/>
      <c r="AK70" s="174"/>
      <c r="AL70" s="174"/>
      <c r="AM70" s="174"/>
      <c r="AN70" s="73" t="s">
        <v>25</v>
      </c>
      <c r="AO70" s="223"/>
      <c r="AP70" s="239"/>
      <c r="AQ70" s="56"/>
      <c r="AR70" s="73"/>
      <c r="AS70" s="174"/>
      <c r="AT70" s="174"/>
      <c r="AU70" s="174"/>
      <c r="AV70" s="174"/>
      <c r="AW70" s="174"/>
      <c r="AX70" s="174"/>
      <c r="AY70" s="174"/>
      <c r="AZ70" s="174"/>
      <c r="BA70" s="250"/>
      <c r="BB70" s="250"/>
      <c r="BC70" s="174"/>
      <c r="BD70" s="70"/>
      <c r="BE70" s="70"/>
    </row>
    <row r="71" spans="1:57" x14ac:dyDescent="0.25">
      <c r="A71" s="217" t="s">
        <v>56</v>
      </c>
      <c r="B71" s="218" t="s">
        <v>57</v>
      </c>
      <c r="C71" s="226"/>
      <c r="D71" s="225" t="s">
        <v>16</v>
      </c>
      <c r="E71" s="243" t="s">
        <v>573</v>
      </c>
      <c r="F71" s="243" t="s">
        <v>573</v>
      </c>
      <c r="G71" s="56" t="s">
        <v>20</v>
      </c>
      <c r="H71" s="73" t="s">
        <v>16</v>
      </c>
      <c r="I71" s="174" t="s">
        <v>16</v>
      </c>
      <c r="J71" s="174" t="s">
        <v>16</v>
      </c>
      <c r="K71" s="174" t="s">
        <v>16</v>
      </c>
      <c r="L71" s="174" t="s">
        <v>16</v>
      </c>
      <c r="M71" s="174" t="s">
        <v>16</v>
      </c>
      <c r="N71" s="174" t="s">
        <v>16</v>
      </c>
      <c r="O71" s="174" t="s">
        <v>16</v>
      </c>
      <c r="P71" s="174" t="s">
        <v>16</v>
      </c>
      <c r="Q71" s="174" t="s">
        <v>16</v>
      </c>
      <c r="R71" s="174" t="s">
        <v>16</v>
      </c>
      <c r="S71" s="174" t="s">
        <v>16</v>
      </c>
      <c r="T71" s="174" t="s">
        <v>16</v>
      </c>
      <c r="U71" s="174" t="s">
        <v>16</v>
      </c>
      <c r="V71" s="174" t="s">
        <v>16</v>
      </c>
      <c r="W71" s="174" t="s">
        <v>16</v>
      </c>
      <c r="X71" s="56" t="s">
        <v>16</v>
      </c>
      <c r="Y71" s="73" t="s">
        <v>16</v>
      </c>
      <c r="Z71" s="174" t="s">
        <v>16</v>
      </c>
      <c r="AA71" s="56" t="s">
        <v>16</v>
      </c>
      <c r="AB71" s="73" t="s">
        <v>16</v>
      </c>
      <c r="AC71" s="174" t="s">
        <v>16</v>
      </c>
      <c r="AD71" s="174" t="s">
        <v>16</v>
      </c>
      <c r="AE71" s="174" t="s">
        <v>16</v>
      </c>
      <c r="AF71" s="174" t="s">
        <v>16</v>
      </c>
      <c r="AG71" s="174" t="s">
        <v>16</v>
      </c>
      <c r="AH71" s="174" t="s">
        <v>16</v>
      </c>
      <c r="AI71" s="56" t="s">
        <v>16</v>
      </c>
      <c r="AJ71" s="73" t="s">
        <v>16</v>
      </c>
      <c r="AK71" s="174" t="s">
        <v>16</v>
      </c>
      <c r="AL71" s="174" t="s">
        <v>16</v>
      </c>
      <c r="AM71" s="174" t="s">
        <v>16</v>
      </c>
      <c r="AN71" s="292" t="s">
        <v>572</v>
      </c>
      <c r="AO71" s="223" t="s">
        <v>20</v>
      </c>
      <c r="AP71" s="239" t="s">
        <v>20</v>
      </c>
      <c r="AQ71" s="223" t="s">
        <v>20</v>
      </c>
      <c r="AR71" s="73" t="s">
        <v>182</v>
      </c>
      <c r="AS71" s="250">
        <v>8.9999999999999993E-3</v>
      </c>
      <c r="AT71" s="250">
        <v>0.249</v>
      </c>
      <c r="AU71" s="250">
        <v>4.8000000000000001E-2</v>
      </c>
      <c r="AV71" s="250">
        <v>0.60299999999999998</v>
      </c>
      <c r="AW71" s="250">
        <v>8.6999999999999994E-2</v>
      </c>
      <c r="AX71" s="250">
        <v>4.0000000000000001E-3</v>
      </c>
      <c r="AY71" s="250" t="s">
        <v>16</v>
      </c>
      <c r="AZ71" s="174">
        <v>266</v>
      </c>
      <c r="BA71" s="250" t="s">
        <v>16</v>
      </c>
      <c r="BB71" s="250" t="s">
        <v>16</v>
      </c>
      <c r="BC71" s="174" t="s">
        <v>16</v>
      </c>
      <c r="BD71" s="70"/>
      <c r="BE71" s="278" t="s">
        <v>574</v>
      </c>
    </row>
    <row r="72" spans="1:57" x14ac:dyDescent="0.25">
      <c r="A72" s="217" t="s">
        <v>145</v>
      </c>
      <c r="B72" s="218" t="s">
        <v>173</v>
      </c>
      <c r="C72" s="174" t="s">
        <v>182</v>
      </c>
      <c r="D72" s="225" t="s">
        <v>182</v>
      </c>
      <c r="E72" s="174">
        <v>4690</v>
      </c>
      <c r="F72" s="174" t="s">
        <v>20</v>
      </c>
      <c r="G72" s="56" t="s">
        <v>20</v>
      </c>
      <c r="H72" s="73" t="s">
        <v>16</v>
      </c>
      <c r="I72" s="174" t="s">
        <v>16</v>
      </c>
      <c r="J72" s="174" t="s">
        <v>16</v>
      </c>
      <c r="K72" s="174" t="s">
        <v>16</v>
      </c>
      <c r="L72" s="174" t="s">
        <v>16</v>
      </c>
      <c r="M72" s="174" t="s">
        <v>16</v>
      </c>
      <c r="N72" s="174" t="s">
        <v>16</v>
      </c>
      <c r="O72" s="174" t="s">
        <v>16</v>
      </c>
      <c r="P72" s="174" t="s">
        <v>16</v>
      </c>
      <c r="Q72" s="174" t="s">
        <v>16</v>
      </c>
      <c r="R72" s="174" t="s">
        <v>16</v>
      </c>
      <c r="S72" s="174" t="s">
        <v>16</v>
      </c>
      <c r="T72" s="174" t="s">
        <v>16</v>
      </c>
      <c r="U72" s="174" t="s">
        <v>16</v>
      </c>
      <c r="V72" s="174" t="s">
        <v>16</v>
      </c>
      <c r="W72" s="174" t="s">
        <v>16</v>
      </c>
      <c r="X72" s="56" t="s">
        <v>16</v>
      </c>
      <c r="Y72" s="73" t="s">
        <v>16</v>
      </c>
      <c r="Z72" s="174" t="s">
        <v>16</v>
      </c>
      <c r="AA72" s="56" t="s">
        <v>16</v>
      </c>
      <c r="AB72" s="73" t="s">
        <v>16</v>
      </c>
      <c r="AC72" s="174" t="s">
        <v>16</v>
      </c>
      <c r="AD72" s="174" t="s">
        <v>16</v>
      </c>
      <c r="AE72" s="174" t="s">
        <v>16</v>
      </c>
      <c r="AF72" s="174" t="s">
        <v>16</v>
      </c>
      <c r="AG72" s="174" t="s">
        <v>16</v>
      </c>
      <c r="AH72" s="174" t="s">
        <v>16</v>
      </c>
      <c r="AI72" s="56" t="s">
        <v>16</v>
      </c>
      <c r="AJ72" s="73" t="s">
        <v>16</v>
      </c>
      <c r="AK72" s="174" t="s">
        <v>16</v>
      </c>
      <c r="AL72" s="174" t="s">
        <v>16</v>
      </c>
      <c r="AM72" s="174" t="s">
        <v>16</v>
      </c>
      <c r="AN72" s="73" t="s">
        <v>908</v>
      </c>
      <c r="AO72" s="223" t="s">
        <v>909</v>
      </c>
      <c r="AP72" s="239" t="s">
        <v>910</v>
      </c>
      <c r="AQ72" s="106" t="s">
        <v>658</v>
      </c>
      <c r="AR72" s="73" t="s">
        <v>182</v>
      </c>
      <c r="AS72" s="174" t="s">
        <v>20</v>
      </c>
      <c r="AT72" s="174" t="s">
        <v>20</v>
      </c>
      <c r="AU72" s="174" t="s">
        <v>20</v>
      </c>
      <c r="AV72" s="174" t="s">
        <v>20</v>
      </c>
      <c r="AW72" s="174" t="s">
        <v>20</v>
      </c>
      <c r="AX72" s="174" t="s">
        <v>20</v>
      </c>
      <c r="AY72" s="174" t="s">
        <v>20</v>
      </c>
      <c r="AZ72" s="174" t="s">
        <v>16</v>
      </c>
      <c r="BA72" s="174" t="s">
        <v>16</v>
      </c>
      <c r="BB72" s="174" t="s">
        <v>16</v>
      </c>
      <c r="BC72" s="174" t="s">
        <v>16</v>
      </c>
      <c r="BD72" s="70" t="s">
        <v>879</v>
      </c>
      <c r="BE72" s="70"/>
    </row>
    <row r="73" spans="1:57" x14ac:dyDescent="0.25">
      <c r="A73" s="217" t="s">
        <v>146</v>
      </c>
      <c r="B73" s="218" t="s">
        <v>174</v>
      </c>
      <c r="C73" s="174"/>
      <c r="D73" s="225" t="s">
        <v>182</v>
      </c>
      <c r="E73" s="174"/>
      <c r="F73" s="174"/>
      <c r="G73" s="56"/>
      <c r="H73" s="73"/>
      <c r="I73" s="174"/>
      <c r="J73" s="174"/>
      <c r="K73" s="174"/>
      <c r="L73" s="174"/>
      <c r="M73" s="174" t="s">
        <v>16</v>
      </c>
      <c r="N73" s="174"/>
      <c r="O73" s="174"/>
      <c r="P73" s="174"/>
      <c r="Q73" s="174"/>
      <c r="R73" s="174"/>
      <c r="S73" s="174"/>
      <c r="T73" s="174"/>
      <c r="U73" s="174"/>
      <c r="V73" s="174"/>
      <c r="W73" s="174"/>
      <c r="X73" s="56"/>
      <c r="Y73" s="73"/>
      <c r="Z73" s="238"/>
      <c r="AA73" s="223">
        <f>SUM(Tabela1[[#This Row],[Nº of females]:[Nº of males]])</f>
        <v>0</v>
      </c>
      <c r="AB73" s="73"/>
      <c r="AC73" s="174"/>
      <c r="AD73" s="174"/>
      <c r="AE73" s="174"/>
      <c r="AF73" s="174"/>
      <c r="AG73" s="174"/>
      <c r="AH73" s="174"/>
      <c r="AI73" s="56"/>
      <c r="AJ73" s="73"/>
      <c r="AK73" s="174"/>
      <c r="AL73" s="174"/>
      <c r="AM73" s="174"/>
      <c r="AN73" s="73" t="s">
        <v>25</v>
      </c>
      <c r="AO73" s="223"/>
      <c r="AP73" s="239"/>
      <c r="AQ73" s="56"/>
      <c r="AR73" s="73"/>
      <c r="AS73" s="174"/>
      <c r="AT73" s="174"/>
      <c r="AU73" s="174"/>
      <c r="AV73" s="174"/>
      <c r="AW73" s="174"/>
      <c r="AX73" s="174"/>
      <c r="AY73" s="174"/>
      <c r="AZ73" s="174"/>
      <c r="BA73" s="250"/>
      <c r="BB73" s="250"/>
      <c r="BC73" s="174"/>
      <c r="BD73" s="70"/>
      <c r="BE73" s="70"/>
    </row>
    <row r="74" spans="1:57" x14ac:dyDescent="0.25">
      <c r="A74" s="217" t="s">
        <v>147</v>
      </c>
      <c r="B74" s="218" t="s">
        <v>175</v>
      </c>
      <c r="C74" s="174"/>
      <c r="D74" s="225" t="s">
        <v>182</v>
      </c>
      <c r="E74" s="174"/>
      <c r="F74" s="174"/>
      <c r="G74" s="56"/>
      <c r="H74" s="73"/>
      <c r="I74" s="174"/>
      <c r="J74" s="174"/>
      <c r="K74" s="174"/>
      <c r="L74" s="174"/>
      <c r="M74" s="174" t="s">
        <v>16</v>
      </c>
      <c r="N74" s="174"/>
      <c r="O74" s="174"/>
      <c r="P74" s="174"/>
      <c r="Q74" s="174"/>
      <c r="R74" s="174"/>
      <c r="S74" s="174"/>
      <c r="T74" s="174"/>
      <c r="U74" s="174"/>
      <c r="V74" s="174"/>
      <c r="W74" s="174"/>
      <c r="X74" s="56"/>
      <c r="Y74" s="73"/>
      <c r="Z74" s="238"/>
      <c r="AA74" s="223">
        <f>SUM(Tabela1[[#This Row],[Nº of females]:[Nº of males]])</f>
        <v>0</v>
      </c>
      <c r="AB74" s="73"/>
      <c r="AC74" s="174"/>
      <c r="AD74" s="174"/>
      <c r="AE74" s="174"/>
      <c r="AF74" s="174"/>
      <c r="AG74" s="174"/>
      <c r="AH74" s="174"/>
      <c r="AI74" s="56"/>
      <c r="AJ74" s="73"/>
      <c r="AK74" s="174"/>
      <c r="AL74" s="174"/>
      <c r="AM74" s="174"/>
      <c r="AN74" s="73" t="s">
        <v>25</v>
      </c>
      <c r="AO74" s="223"/>
      <c r="AP74" s="239"/>
      <c r="AQ74" s="56"/>
      <c r="AR74" s="73"/>
      <c r="AS74" s="174"/>
      <c r="AT74" s="174"/>
      <c r="AU74" s="174"/>
      <c r="AV74" s="174"/>
      <c r="AW74" s="174"/>
      <c r="AX74" s="174"/>
      <c r="AY74" s="174"/>
      <c r="AZ74" s="174"/>
      <c r="BA74" s="250"/>
      <c r="BB74" s="250"/>
      <c r="BC74" s="174"/>
      <c r="BD74" s="70"/>
      <c r="BE74" s="70"/>
    </row>
    <row r="75" spans="1:57" x14ac:dyDescent="0.25">
      <c r="A75" s="217" t="s">
        <v>148</v>
      </c>
      <c r="B75" s="218" t="s">
        <v>54</v>
      </c>
      <c r="C75" s="174"/>
      <c r="D75" s="225" t="s">
        <v>182</v>
      </c>
      <c r="E75" s="174"/>
      <c r="F75" s="174"/>
      <c r="G75" s="56"/>
      <c r="H75" s="73"/>
      <c r="I75" s="174"/>
      <c r="J75" s="174"/>
      <c r="K75" s="174"/>
      <c r="L75" s="174"/>
      <c r="M75" s="174" t="s">
        <v>16</v>
      </c>
      <c r="N75" s="174"/>
      <c r="O75" s="174"/>
      <c r="P75" s="174"/>
      <c r="Q75" s="174"/>
      <c r="R75" s="174"/>
      <c r="S75" s="174"/>
      <c r="T75" s="174"/>
      <c r="U75" s="174"/>
      <c r="V75" s="174"/>
      <c r="W75" s="174"/>
      <c r="X75" s="56"/>
      <c r="Y75" s="73"/>
      <c r="Z75" s="238"/>
      <c r="AA75" s="223">
        <f>SUM(Tabela1[[#This Row],[Nº of females]:[Nº of males]])</f>
        <v>0</v>
      </c>
      <c r="AB75" s="73"/>
      <c r="AC75" s="174"/>
      <c r="AD75" s="174"/>
      <c r="AE75" s="174"/>
      <c r="AF75" s="174"/>
      <c r="AG75" s="174"/>
      <c r="AH75" s="174"/>
      <c r="AI75" s="56"/>
      <c r="AJ75" s="73"/>
      <c r="AK75" s="174"/>
      <c r="AL75" s="174"/>
      <c r="AM75" s="174"/>
      <c r="AN75" s="73" t="s">
        <v>25</v>
      </c>
      <c r="AO75" s="223"/>
      <c r="AP75" s="239"/>
      <c r="AQ75" s="56"/>
      <c r="AR75" s="73"/>
      <c r="AS75" s="174"/>
      <c r="AT75" s="174"/>
      <c r="AU75" s="174"/>
      <c r="AV75" s="174"/>
      <c r="AW75" s="174"/>
      <c r="AX75" s="174"/>
      <c r="AY75" s="174"/>
      <c r="AZ75" s="174"/>
      <c r="BA75" s="250"/>
      <c r="BB75" s="250"/>
      <c r="BC75" s="174"/>
      <c r="BD75" s="70"/>
      <c r="BE75" s="70"/>
    </row>
    <row r="76" spans="1:57" x14ac:dyDescent="0.25">
      <c r="A76" s="217" t="s">
        <v>149</v>
      </c>
      <c r="B76" s="221" t="s">
        <v>54</v>
      </c>
      <c r="C76" s="174"/>
      <c r="D76" s="225" t="s">
        <v>182</v>
      </c>
      <c r="E76" s="174"/>
      <c r="F76" s="174"/>
      <c r="G76" s="56"/>
      <c r="H76" s="73"/>
      <c r="I76" s="174"/>
      <c r="J76" s="174"/>
      <c r="K76" s="174"/>
      <c r="L76" s="174"/>
      <c r="M76" s="174" t="s">
        <v>16</v>
      </c>
      <c r="N76" s="174"/>
      <c r="O76" s="174"/>
      <c r="P76" s="174"/>
      <c r="Q76" s="174"/>
      <c r="R76" s="174"/>
      <c r="S76" s="174"/>
      <c r="T76" s="174"/>
      <c r="U76" s="174"/>
      <c r="V76" s="174"/>
      <c r="W76" s="174"/>
      <c r="X76" s="56"/>
      <c r="Y76" s="73"/>
      <c r="Z76" s="238"/>
      <c r="AA76" s="223">
        <f>SUM(Tabela1[[#This Row],[Nº of females]:[Nº of males]])</f>
        <v>0</v>
      </c>
      <c r="AB76" s="73"/>
      <c r="AC76" s="174"/>
      <c r="AD76" s="174"/>
      <c r="AE76" s="174"/>
      <c r="AF76" s="174"/>
      <c r="AG76" s="174"/>
      <c r="AH76" s="174"/>
      <c r="AI76" s="56"/>
      <c r="AJ76" s="73"/>
      <c r="AK76" s="174"/>
      <c r="AL76" s="174"/>
      <c r="AM76" s="174"/>
      <c r="AN76" s="73" t="s">
        <v>25</v>
      </c>
      <c r="AO76" s="223"/>
      <c r="AP76" s="239"/>
      <c r="AQ76" s="56"/>
      <c r="AR76" s="73"/>
      <c r="AS76" s="174"/>
      <c r="AT76" s="174"/>
      <c r="AU76" s="174"/>
      <c r="AV76" s="174"/>
      <c r="AW76" s="174"/>
      <c r="AX76" s="174"/>
      <c r="AY76" s="174"/>
      <c r="AZ76" s="174"/>
      <c r="BA76" s="250"/>
      <c r="BB76" s="250"/>
      <c r="BC76" s="174"/>
      <c r="BD76" s="70"/>
      <c r="BE76" s="70"/>
    </row>
    <row r="77" spans="1:57" x14ac:dyDescent="0.25">
      <c r="A77" s="217" t="s">
        <v>150</v>
      </c>
      <c r="B77" s="218" t="s">
        <v>176</v>
      </c>
      <c r="C77" s="174"/>
      <c r="D77" s="225" t="s">
        <v>182</v>
      </c>
      <c r="E77" s="174"/>
      <c r="F77" s="174"/>
      <c r="G77" s="56"/>
      <c r="H77" s="73"/>
      <c r="I77" s="174"/>
      <c r="J77" s="174"/>
      <c r="K77" s="174"/>
      <c r="L77" s="174"/>
      <c r="M77" s="174" t="s">
        <v>16</v>
      </c>
      <c r="N77" s="174"/>
      <c r="O77" s="174"/>
      <c r="P77" s="174"/>
      <c r="Q77" s="174"/>
      <c r="R77" s="174"/>
      <c r="S77" s="174"/>
      <c r="T77" s="174"/>
      <c r="U77" s="174"/>
      <c r="V77" s="174"/>
      <c r="W77" s="174"/>
      <c r="X77" s="56"/>
      <c r="Y77" s="73"/>
      <c r="Z77" s="238"/>
      <c r="AA77" s="223">
        <f>SUM(Tabela1[[#This Row],[Nº of females]:[Nº of males]])</f>
        <v>0</v>
      </c>
      <c r="AB77" s="73"/>
      <c r="AC77" s="174"/>
      <c r="AD77" s="174"/>
      <c r="AE77" s="174"/>
      <c r="AF77" s="174"/>
      <c r="AG77" s="174"/>
      <c r="AH77" s="174"/>
      <c r="AI77" s="56"/>
      <c r="AJ77" s="73"/>
      <c r="AK77" s="174"/>
      <c r="AL77" s="174"/>
      <c r="AM77" s="174"/>
      <c r="AN77" s="73" t="s">
        <v>25</v>
      </c>
      <c r="AO77" s="223"/>
      <c r="AP77" s="239"/>
      <c r="AQ77" s="56"/>
      <c r="AR77" s="73"/>
      <c r="AS77" s="174"/>
      <c r="AT77" s="174"/>
      <c r="AU77" s="174"/>
      <c r="AV77" s="174"/>
      <c r="AW77" s="174"/>
      <c r="AX77" s="174"/>
      <c r="AY77" s="174"/>
      <c r="AZ77" s="174"/>
      <c r="BA77" s="250"/>
      <c r="BB77" s="250"/>
      <c r="BC77" s="174"/>
      <c r="BD77" s="70"/>
      <c r="BE77" s="70"/>
    </row>
    <row r="78" spans="1:57" x14ac:dyDescent="0.25">
      <c r="A78" s="217" t="s">
        <v>151</v>
      </c>
      <c r="B78" s="218" t="s">
        <v>31</v>
      </c>
      <c r="C78" s="174"/>
      <c r="D78" s="225" t="s">
        <v>182</v>
      </c>
      <c r="E78" s="174"/>
      <c r="F78" s="174"/>
      <c r="G78" s="56"/>
      <c r="H78" s="73"/>
      <c r="I78" s="174"/>
      <c r="J78" s="174"/>
      <c r="K78" s="174"/>
      <c r="L78" s="174"/>
      <c r="M78" s="174" t="s">
        <v>16</v>
      </c>
      <c r="N78" s="174"/>
      <c r="O78" s="174"/>
      <c r="P78" s="174"/>
      <c r="Q78" s="174"/>
      <c r="R78" s="174"/>
      <c r="S78" s="174"/>
      <c r="T78" s="174"/>
      <c r="U78" s="174"/>
      <c r="V78" s="174"/>
      <c r="W78" s="174"/>
      <c r="X78" s="56"/>
      <c r="Y78" s="73"/>
      <c r="Z78" s="238"/>
      <c r="AA78" s="223">
        <f>SUM(Tabela1[[#This Row],[Nº of females]:[Nº of males]])</f>
        <v>0</v>
      </c>
      <c r="AB78" s="73"/>
      <c r="AC78" s="174"/>
      <c r="AD78" s="174"/>
      <c r="AE78" s="174"/>
      <c r="AF78" s="174"/>
      <c r="AG78" s="174"/>
      <c r="AH78" s="174"/>
      <c r="AI78" s="56"/>
      <c r="AJ78" s="73"/>
      <c r="AK78" s="174"/>
      <c r="AL78" s="174"/>
      <c r="AM78" s="174"/>
      <c r="AN78" s="73" t="s">
        <v>25</v>
      </c>
      <c r="AO78" s="223"/>
      <c r="AP78" s="239"/>
      <c r="AQ78" s="56"/>
      <c r="AR78" s="73"/>
      <c r="AS78" s="174"/>
      <c r="AT78" s="174"/>
      <c r="AU78" s="174"/>
      <c r="AV78" s="174"/>
      <c r="AW78" s="174"/>
      <c r="AX78" s="174"/>
      <c r="AY78" s="174"/>
      <c r="AZ78" s="174"/>
      <c r="BA78" s="250"/>
      <c r="BB78" s="250"/>
      <c r="BC78" s="174"/>
      <c r="BD78" s="70"/>
      <c r="BE78" s="70"/>
    </row>
    <row r="79" spans="1:57" x14ac:dyDescent="0.25">
      <c r="A79" s="217" t="s">
        <v>152</v>
      </c>
      <c r="B79" s="218" t="s">
        <v>31</v>
      </c>
      <c r="C79" s="174"/>
      <c r="D79" s="225" t="s">
        <v>182</v>
      </c>
      <c r="E79" s="174"/>
      <c r="F79" s="174"/>
      <c r="G79" s="56"/>
      <c r="H79" s="73"/>
      <c r="I79" s="174"/>
      <c r="J79" s="174"/>
      <c r="K79" s="174"/>
      <c r="L79" s="174"/>
      <c r="M79" s="174" t="s">
        <v>16</v>
      </c>
      <c r="N79" s="174"/>
      <c r="O79" s="174"/>
      <c r="P79" s="174"/>
      <c r="Q79" s="174"/>
      <c r="R79" s="174"/>
      <c r="S79" s="174"/>
      <c r="T79" s="174"/>
      <c r="U79" s="174"/>
      <c r="V79" s="174"/>
      <c r="W79" s="174"/>
      <c r="X79" s="56"/>
      <c r="Y79" s="73"/>
      <c r="Z79" s="238"/>
      <c r="AA79" s="223">
        <f>SUM(Tabela1[[#This Row],[Nº of females]:[Nº of males]])</f>
        <v>0</v>
      </c>
      <c r="AB79" s="73"/>
      <c r="AC79" s="174"/>
      <c r="AD79" s="174"/>
      <c r="AE79" s="174"/>
      <c r="AF79" s="174"/>
      <c r="AG79" s="174"/>
      <c r="AH79" s="174"/>
      <c r="AI79" s="56"/>
      <c r="AJ79" s="73"/>
      <c r="AK79" s="174"/>
      <c r="AL79" s="174"/>
      <c r="AM79" s="174"/>
      <c r="AN79" s="73" t="s">
        <v>25</v>
      </c>
      <c r="AO79" s="223"/>
      <c r="AP79" s="239"/>
      <c r="AQ79" s="56"/>
      <c r="AR79" s="73"/>
      <c r="AS79" s="174"/>
      <c r="AT79" s="174"/>
      <c r="AU79" s="174"/>
      <c r="AV79" s="174"/>
      <c r="AW79" s="174"/>
      <c r="AX79" s="174"/>
      <c r="AY79" s="174"/>
      <c r="AZ79" s="174"/>
      <c r="BA79" s="250"/>
      <c r="BB79" s="250"/>
      <c r="BC79" s="174"/>
      <c r="BD79" s="70"/>
      <c r="BE79" s="70"/>
    </row>
    <row r="80" spans="1:57" x14ac:dyDescent="0.25">
      <c r="A80" s="217" t="s">
        <v>153</v>
      </c>
      <c r="B80" s="218" t="s">
        <v>177</v>
      </c>
      <c r="C80" s="174" t="s">
        <v>16</v>
      </c>
      <c r="D80" s="225" t="s">
        <v>182</v>
      </c>
      <c r="E80" s="173">
        <v>14926</v>
      </c>
      <c r="F80" s="173">
        <v>14926</v>
      </c>
      <c r="G80" s="55">
        <v>11496</v>
      </c>
      <c r="H80" s="73" t="s">
        <v>16</v>
      </c>
      <c r="I80" s="174" t="s">
        <v>16</v>
      </c>
      <c r="J80" s="174" t="s">
        <v>16</v>
      </c>
      <c r="K80" s="174" t="s">
        <v>16</v>
      </c>
      <c r="L80" s="174" t="s">
        <v>16</v>
      </c>
      <c r="M80" s="174" t="s">
        <v>16</v>
      </c>
      <c r="N80" s="174" t="s">
        <v>16</v>
      </c>
      <c r="O80" s="174" t="s">
        <v>16</v>
      </c>
      <c r="P80" s="174" t="s">
        <v>16</v>
      </c>
      <c r="Q80" s="174" t="s">
        <v>16</v>
      </c>
      <c r="R80" s="174" t="s">
        <v>16</v>
      </c>
      <c r="S80" s="174" t="s">
        <v>16</v>
      </c>
      <c r="T80" s="174" t="s">
        <v>16</v>
      </c>
      <c r="U80" s="174" t="s">
        <v>16</v>
      </c>
      <c r="V80" s="174" t="s">
        <v>16</v>
      </c>
      <c r="W80" s="174" t="s">
        <v>16</v>
      </c>
      <c r="X80" s="56" t="s">
        <v>16</v>
      </c>
      <c r="Y80" s="73" t="s">
        <v>16</v>
      </c>
      <c r="Z80" s="174" t="s">
        <v>16</v>
      </c>
      <c r="AA80" s="56" t="s">
        <v>16</v>
      </c>
      <c r="AB80" s="73" t="s">
        <v>16</v>
      </c>
      <c r="AC80" s="174" t="s">
        <v>16</v>
      </c>
      <c r="AD80" s="174" t="s">
        <v>16</v>
      </c>
      <c r="AE80" s="174" t="s">
        <v>16</v>
      </c>
      <c r="AF80" s="174" t="s">
        <v>16</v>
      </c>
      <c r="AG80" s="174" t="s">
        <v>16</v>
      </c>
      <c r="AH80" s="174" t="s">
        <v>16</v>
      </c>
      <c r="AI80" s="56" t="s">
        <v>16</v>
      </c>
      <c r="AJ80" s="73" t="s">
        <v>16</v>
      </c>
      <c r="AK80" s="174" t="s">
        <v>16</v>
      </c>
      <c r="AL80" s="174" t="s">
        <v>16</v>
      </c>
      <c r="AM80" s="174" t="s">
        <v>16</v>
      </c>
      <c r="AN80" s="73" t="s">
        <v>11</v>
      </c>
      <c r="AO80" s="223"/>
      <c r="AP80" s="238" t="s">
        <v>926</v>
      </c>
      <c r="AQ80" s="56" t="s">
        <v>20</v>
      </c>
      <c r="AR80" s="73" t="s">
        <v>20</v>
      </c>
      <c r="AS80" s="174" t="s">
        <v>16</v>
      </c>
      <c r="AT80" s="174" t="s">
        <v>16</v>
      </c>
      <c r="AU80" s="174" t="s">
        <v>16</v>
      </c>
      <c r="AV80" s="174" t="s">
        <v>16</v>
      </c>
      <c r="AW80" s="174" t="s">
        <v>16</v>
      </c>
      <c r="AX80" s="174" t="s">
        <v>16</v>
      </c>
      <c r="AY80" s="174" t="s">
        <v>16</v>
      </c>
      <c r="AZ80" s="174" t="s">
        <v>16</v>
      </c>
      <c r="BA80" s="174" t="s">
        <v>16</v>
      </c>
      <c r="BB80" s="174" t="s">
        <v>16</v>
      </c>
      <c r="BC80" s="174"/>
      <c r="BD80" s="70"/>
      <c r="BE80" s="70"/>
    </row>
    <row r="81" spans="1:57" x14ac:dyDescent="0.25">
      <c r="A81" s="217" t="s">
        <v>58</v>
      </c>
      <c r="B81" s="218" t="s">
        <v>579</v>
      </c>
      <c r="C81" s="174" t="s">
        <v>16</v>
      </c>
      <c r="D81" s="225" t="s">
        <v>16</v>
      </c>
      <c r="E81" s="227">
        <v>1057</v>
      </c>
      <c r="F81" s="227">
        <v>1057</v>
      </c>
      <c r="G81" s="56" t="s">
        <v>20</v>
      </c>
      <c r="H81" s="244">
        <v>403</v>
      </c>
      <c r="I81" s="227">
        <v>654</v>
      </c>
      <c r="J81" s="174" t="s">
        <v>16</v>
      </c>
      <c r="K81" s="174" t="s">
        <v>16</v>
      </c>
      <c r="L81" s="174" t="s">
        <v>16</v>
      </c>
      <c r="M81" s="174" t="s">
        <v>16</v>
      </c>
      <c r="N81" s="174" t="s">
        <v>16</v>
      </c>
      <c r="O81" s="174" t="s">
        <v>16</v>
      </c>
      <c r="P81" s="174" t="s">
        <v>16</v>
      </c>
      <c r="Q81" s="174" t="s">
        <v>16</v>
      </c>
      <c r="R81" s="174" t="s">
        <v>16</v>
      </c>
      <c r="S81" s="174" t="s">
        <v>16</v>
      </c>
      <c r="T81" s="174" t="s">
        <v>16</v>
      </c>
      <c r="U81" s="174" t="s">
        <v>16</v>
      </c>
      <c r="V81" s="174" t="s">
        <v>16</v>
      </c>
      <c r="W81" s="174" t="s">
        <v>16</v>
      </c>
      <c r="X81" s="56" t="s">
        <v>16</v>
      </c>
      <c r="Y81" s="73" t="s">
        <v>16</v>
      </c>
      <c r="Z81" s="174" t="s">
        <v>16</v>
      </c>
      <c r="AA81" s="56" t="s">
        <v>16</v>
      </c>
      <c r="AB81" s="73" t="s">
        <v>16</v>
      </c>
      <c r="AC81" s="174" t="s">
        <v>16</v>
      </c>
      <c r="AD81" s="174" t="s">
        <v>16</v>
      </c>
      <c r="AE81" s="174" t="s">
        <v>16</v>
      </c>
      <c r="AF81" s="174" t="s">
        <v>16</v>
      </c>
      <c r="AG81" s="174" t="s">
        <v>16</v>
      </c>
      <c r="AH81" s="174" t="s">
        <v>16</v>
      </c>
      <c r="AI81" s="56" t="s">
        <v>16</v>
      </c>
      <c r="AJ81" s="73" t="s">
        <v>16</v>
      </c>
      <c r="AK81" s="174" t="s">
        <v>16</v>
      </c>
      <c r="AL81" s="174" t="s">
        <v>16</v>
      </c>
      <c r="AM81" s="174" t="s">
        <v>16</v>
      </c>
      <c r="AN81" s="73" t="s">
        <v>11</v>
      </c>
      <c r="AO81" s="56" t="s">
        <v>16</v>
      </c>
      <c r="AP81" s="271" t="s">
        <v>575</v>
      </c>
      <c r="AQ81" s="56" t="s">
        <v>20</v>
      </c>
      <c r="AR81" s="73" t="s">
        <v>20</v>
      </c>
      <c r="AS81" s="174" t="s">
        <v>16</v>
      </c>
      <c r="AT81" s="174" t="s">
        <v>16</v>
      </c>
      <c r="AU81" s="174" t="s">
        <v>16</v>
      </c>
      <c r="AV81" s="174" t="s">
        <v>16</v>
      </c>
      <c r="AW81" s="174" t="s">
        <v>16</v>
      </c>
      <c r="AX81" s="174" t="s">
        <v>16</v>
      </c>
      <c r="AY81" s="174" t="s">
        <v>16</v>
      </c>
      <c r="AZ81" s="174" t="s">
        <v>16</v>
      </c>
      <c r="BA81" s="174" t="s">
        <v>16</v>
      </c>
      <c r="BB81" s="174" t="s">
        <v>16</v>
      </c>
      <c r="BC81" s="174" t="s">
        <v>16</v>
      </c>
      <c r="BD81" s="70" t="s">
        <v>20</v>
      </c>
      <c r="BE81" s="70"/>
    </row>
    <row r="82" spans="1:57" x14ac:dyDescent="0.25">
      <c r="A82" s="217" t="s">
        <v>59</v>
      </c>
      <c r="B82" s="218" t="s">
        <v>57</v>
      </c>
      <c r="C82" s="174"/>
      <c r="D82" s="225" t="s">
        <v>16</v>
      </c>
      <c r="E82" s="237">
        <v>1050</v>
      </c>
      <c r="F82" s="237">
        <v>1050</v>
      </c>
      <c r="G82" s="56" t="s">
        <v>20</v>
      </c>
      <c r="H82" s="73" t="s">
        <v>16</v>
      </c>
      <c r="I82" s="174" t="s">
        <v>16</v>
      </c>
      <c r="J82" s="174" t="s">
        <v>16</v>
      </c>
      <c r="K82" s="174" t="s">
        <v>16</v>
      </c>
      <c r="L82" s="174" t="s">
        <v>16</v>
      </c>
      <c r="M82" s="174" t="s">
        <v>16</v>
      </c>
      <c r="N82" s="174" t="s">
        <v>16</v>
      </c>
      <c r="O82" s="174" t="s">
        <v>16</v>
      </c>
      <c r="P82" s="174" t="s">
        <v>16</v>
      </c>
      <c r="Q82" s="174" t="s">
        <v>16</v>
      </c>
      <c r="R82" s="174" t="s">
        <v>16</v>
      </c>
      <c r="S82" s="174" t="s">
        <v>16</v>
      </c>
      <c r="T82" s="174" t="s">
        <v>16</v>
      </c>
      <c r="U82" s="174" t="s">
        <v>16</v>
      </c>
      <c r="V82" s="174" t="s">
        <v>16</v>
      </c>
      <c r="W82" s="174" t="s">
        <v>16</v>
      </c>
      <c r="X82" s="56" t="s">
        <v>16</v>
      </c>
      <c r="Y82" s="58">
        <v>0.59899999999999998</v>
      </c>
      <c r="Z82" s="250">
        <v>0.40100000000000002</v>
      </c>
      <c r="AA82" s="56">
        <v>1050</v>
      </c>
      <c r="AB82" s="73" t="s">
        <v>16</v>
      </c>
      <c r="AC82" s="174" t="s">
        <v>16</v>
      </c>
      <c r="AD82" s="174" t="s">
        <v>16</v>
      </c>
      <c r="AE82" s="174" t="s">
        <v>16</v>
      </c>
      <c r="AF82" s="174" t="s">
        <v>16</v>
      </c>
      <c r="AG82" s="174" t="s">
        <v>16</v>
      </c>
      <c r="AH82" s="174" t="s">
        <v>16</v>
      </c>
      <c r="AI82" s="56" t="s">
        <v>16</v>
      </c>
      <c r="AJ82" s="73" t="s">
        <v>16</v>
      </c>
      <c r="AK82" s="174" t="s">
        <v>16</v>
      </c>
      <c r="AL82" s="174" t="s">
        <v>16</v>
      </c>
      <c r="AM82" s="174" t="s">
        <v>16</v>
      </c>
      <c r="AN82" s="73" t="s">
        <v>20</v>
      </c>
      <c r="AO82" s="56" t="s">
        <v>16</v>
      </c>
      <c r="AP82" s="174" t="s">
        <v>20</v>
      </c>
      <c r="AQ82" s="56" t="s">
        <v>20</v>
      </c>
      <c r="AR82" s="73" t="s">
        <v>20</v>
      </c>
      <c r="AS82" s="174" t="s">
        <v>16</v>
      </c>
      <c r="AT82" s="174" t="s">
        <v>16</v>
      </c>
      <c r="AU82" s="174" t="s">
        <v>16</v>
      </c>
      <c r="AV82" s="174" t="s">
        <v>16</v>
      </c>
      <c r="AW82" s="174" t="s">
        <v>16</v>
      </c>
      <c r="AX82" s="174" t="s">
        <v>16</v>
      </c>
      <c r="AY82" s="174" t="s">
        <v>16</v>
      </c>
      <c r="AZ82" s="174" t="s">
        <v>16</v>
      </c>
      <c r="BA82" s="174" t="s">
        <v>16</v>
      </c>
      <c r="BB82" s="174" t="s">
        <v>16</v>
      </c>
      <c r="BC82" s="174" t="s">
        <v>16</v>
      </c>
      <c r="BD82" s="70" t="s">
        <v>20</v>
      </c>
      <c r="BE82" s="70"/>
    </row>
    <row r="83" spans="1:57" x14ac:dyDescent="0.25">
      <c r="A83" s="217" t="s">
        <v>60</v>
      </c>
      <c r="B83" s="218" t="s">
        <v>57</v>
      </c>
      <c r="C83" s="174"/>
      <c r="D83" s="225" t="s">
        <v>16</v>
      </c>
      <c r="E83" s="243">
        <v>665</v>
      </c>
      <c r="F83" s="243">
        <v>665</v>
      </c>
      <c r="G83" s="56" t="s">
        <v>20</v>
      </c>
      <c r="H83" s="252" t="s">
        <v>16</v>
      </c>
      <c r="I83" s="253" t="s">
        <v>16</v>
      </c>
      <c r="J83" s="174" t="s">
        <v>16</v>
      </c>
      <c r="K83" s="174" t="s">
        <v>16</v>
      </c>
      <c r="L83" s="174" t="s">
        <v>16</v>
      </c>
      <c r="M83" s="174" t="s">
        <v>16</v>
      </c>
      <c r="N83" s="174" t="s">
        <v>16</v>
      </c>
      <c r="O83" s="174" t="s">
        <v>16</v>
      </c>
      <c r="P83" s="174" t="s">
        <v>16</v>
      </c>
      <c r="Q83" s="174" t="s">
        <v>16</v>
      </c>
      <c r="R83" s="174" t="s">
        <v>16</v>
      </c>
      <c r="S83" s="174" t="s">
        <v>16</v>
      </c>
      <c r="T83" s="174" t="s">
        <v>16</v>
      </c>
      <c r="U83" s="174" t="s">
        <v>16</v>
      </c>
      <c r="V83" s="174" t="s">
        <v>16</v>
      </c>
      <c r="W83" s="174" t="s">
        <v>16</v>
      </c>
      <c r="X83" s="56" t="s">
        <v>16</v>
      </c>
      <c r="Y83" s="58">
        <v>0.41499999999999998</v>
      </c>
      <c r="Z83" s="250">
        <v>0.58499999999999996</v>
      </c>
      <c r="AA83" s="56">
        <v>665</v>
      </c>
      <c r="AB83" s="73" t="s">
        <v>16</v>
      </c>
      <c r="AC83" s="174" t="s">
        <v>16</v>
      </c>
      <c r="AD83" s="174" t="s">
        <v>16</v>
      </c>
      <c r="AE83" s="174" t="s">
        <v>16</v>
      </c>
      <c r="AF83" s="174" t="s">
        <v>16</v>
      </c>
      <c r="AG83" s="174" t="s">
        <v>16</v>
      </c>
      <c r="AH83" s="174" t="s">
        <v>16</v>
      </c>
      <c r="AI83" s="56" t="s">
        <v>16</v>
      </c>
      <c r="AJ83" s="73" t="s">
        <v>16</v>
      </c>
      <c r="AK83" s="174" t="s">
        <v>16</v>
      </c>
      <c r="AL83" s="174" t="s">
        <v>16</v>
      </c>
      <c r="AM83" s="174" t="s">
        <v>16</v>
      </c>
      <c r="AN83" s="73" t="s">
        <v>20</v>
      </c>
      <c r="AO83" s="56" t="s">
        <v>16</v>
      </c>
      <c r="AP83" s="174" t="s">
        <v>20</v>
      </c>
      <c r="AQ83" s="56" t="s">
        <v>20</v>
      </c>
      <c r="AR83" s="73" t="s">
        <v>182</v>
      </c>
      <c r="AS83" s="174" t="s">
        <v>20</v>
      </c>
      <c r="AT83" s="174" t="s">
        <v>20</v>
      </c>
      <c r="AU83" s="174" t="s">
        <v>20</v>
      </c>
      <c r="AV83" s="174" t="s">
        <v>20</v>
      </c>
      <c r="AW83" s="174" t="s">
        <v>20</v>
      </c>
      <c r="AX83" s="174" t="s">
        <v>20</v>
      </c>
      <c r="AY83" s="174" t="s">
        <v>20</v>
      </c>
      <c r="AZ83" s="174">
        <v>661</v>
      </c>
      <c r="BA83" s="250"/>
      <c r="BB83" s="250"/>
      <c r="BC83" s="174"/>
      <c r="BD83" s="70"/>
      <c r="BE83" s="70"/>
    </row>
    <row r="84" spans="1:57" x14ac:dyDescent="0.25">
      <c r="A84" s="217" t="s">
        <v>61</v>
      </c>
      <c r="B84" s="218" t="s">
        <v>628</v>
      </c>
      <c r="C84" s="227"/>
      <c r="D84" s="225" t="s">
        <v>16</v>
      </c>
      <c r="E84" s="227">
        <f>6010+8625</f>
        <v>14635</v>
      </c>
      <c r="F84" s="227">
        <f>6010+8625</f>
        <v>14635</v>
      </c>
      <c r="G84" s="56" t="s">
        <v>20</v>
      </c>
      <c r="H84" s="254" t="s">
        <v>906</v>
      </c>
      <c r="I84" s="255" t="s">
        <v>907</v>
      </c>
      <c r="J84" s="227" t="s">
        <v>16</v>
      </c>
      <c r="K84" s="227" t="s">
        <v>16</v>
      </c>
      <c r="L84" s="227" t="s">
        <v>16</v>
      </c>
      <c r="M84" s="227" t="s">
        <v>16</v>
      </c>
      <c r="N84" s="227" t="s">
        <v>16</v>
      </c>
      <c r="O84" s="227" t="s">
        <v>16</v>
      </c>
      <c r="P84" s="227" t="s">
        <v>16</v>
      </c>
      <c r="Q84" s="227" t="s">
        <v>16</v>
      </c>
      <c r="R84" s="227" t="s">
        <v>16</v>
      </c>
      <c r="S84" s="227" t="s">
        <v>16</v>
      </c>
      <c r="T84" s="227" t="s">
        <v>16</v>
      </c>
      <c r="U84" s="227" t="s">
        <v>16</v>
      </c>
      <c r="V84" s="227" t="s">
        <v>16</v>
      </c>
      <c r="W84" s="227" t="s">
        <v>16</v>
      </c>
      <c r="X84" s="247" t="s">
        <v>16</v>
      </c>
      <c r="Y84" s="244" t="s">
        <v>16</v>
      </c>
      <c r="Z84" s="227" t="s">
        <v>16</v>
      </c>
      <c r="AA84" s="247" t="s">
        <v>16</v>
      </c>
      <c r="AB84" s="244" t="s">
        <v>16</v>
      </c>
      <c r="AC84" s="227" t="s">
        <v>16</v>
      </c>
      <c r="AD84" s="227" t="s">
        <v>16</v>
      </c>
      <c r="AE84" s="227" t="s">
        <v>16</v>
      </c>
      <c r="AF84" s="227" t="s">
        <v>16</v>
      </c>
      <c r="AG84" s="227" t="s">
        <v>16</v>
      </c>
      <c r="AH84" s="227" t="s">
        <v>16</v>
      </c>
      <c r="AI84" s="247" t="s">
        <v>16</v>
      </c>
      <c r="AJ84" s="244" t="s">
        <v>16</v>
      </c>
      <c r="AK84" s="227" t="s">
        <v>16</v>
      </c>
      <c r="AL84" s="227" t="s">
        <v>16</v>
      </c>
      <c r="AM84" s="227" t="s">
        <v>16</v>
      </c>
      <c r="AN84" s="244" t="s">
        <v>11</v>
      </c>
      <c r="AO84" s="223" t="s">
        <v>627</v>
      </c>
      <c r="AP84" s="227" t="s">
        <v>20</v>
      </c>
      <c r="AQ84" s="247" t="s">
        <v>20</v>
      </c>
      <c r="AR84" s="244" t="s">
        <v>20</v>
      </c>
      <c r="AS84" s="227" t="s">
        <v>16</v>
      </c>
      <c r="AT84" s="227" t="s">
        <v>16</v>
      </c>
      <c r="AU84" s="227" t="s">
        <v>16</v>
      </c>
      <c r="AV84" s="227" t="s">
        <v>16</v>
      </c>
      <c r="AW84" s="227" t="s">
        <v>16</v>
      </c>
      <c r="AX84" s="227" t="s">
        <v>16</v>
      </c>
      <c r="AY84" s="227" t="s">
        <v>16</v>
      </c>
      <c r="AZ84" s="227" t="s">
        <v>16</v>
      </c>
      <c r="BA84" s="227" t="s">
        <v>16</v>
      </c>
      <c r="BB84" s="227" t="s">
        <v>16</v>
      </c>
      <c r="BC84" s="227" t="s">
        <v>16</v>
      </c>
      <c r="BD84" s="275" t="s">
        <v>20</v>
      </c>
      <c r="BE84" s="70"/>
    </row>
    <row r="85" spans="1:57" x14ac:dyDescent="0.25">
      <c r="A85" s="217" t="s">
        <v>62</v>
      </c>
      <c r="B85" s="218" t="s">
        <v>629</v>
      </c>
      <c r="C85" s="174"/>
      <c r="D85" s="225" t="s">
        <v>16</v>
      </c>
      <c r="E85" s="173">
        <v>1203</v>
      </c>
      <c r="F85" s="173">
        <v>1165</v>
      </c>
      <c r="G85" s="56" t="s">
        <v>20</v>
      </c>
      <c r="H85" s="73" t="s">
        <v>16</v>
      </c>
      <c r="I85" s="174" t="s">
        <v>16</v>
      </c>
      <c r="J85" s="174" t="s">
        <v>16</v>
      </c>
      <c r="K85" s="174" t="s">
        <v>16</v>
      </c>
      <c r="L85" s="174" t="s">
        <v>16</v>
      </c>
      <c r="M85" s="174" t="s">
        <v>16</v>
      </c>
      <c r="N85" s="174" t="s">
        <v>16</v>
      </c>
      <c r="O85" s="174" t="s">
        <v>16</v>
      </c>
      <c r="P85" s="174" t="s">
        <v>16</v>
      </c>
      <c r="Q85" s="174" t="s">
        <v>16</v>
      </c>
      <c r="R85" s="174" t="s">
        <v>16</v>
      </c>
      <c r="S85" s="174" t="s">
        <v>16</v>
      </c>
      <c r="T85" s="174" t="s">
        <v>16</v>
      </c>
      <c r="U85" s="174" t="s">
        <v>16</v>
      </c>
      <c r="V85" s="174" t="s">
        <v>16</v>
      </c>
      <c r="W85" s="174" t="s">
        <v>16</v>
      </c>
      <c r="X85" s="56" t="s">
        <v>16</v>
      </c>
      <c r="Y85" s="58">
        <v>0.53500000000000003</v>
      </c>
      <c r="Z85" s="250">
        <v>0.46500000000000002</v>
      </c>
      <c r="AA85" s="55">
        <v>1203</v>
      </c>
      <c r="AB85" s="73" t="s">
        <v>16</v>
      </c>
      <c r="AC85" s="174" t="s">
        <v>16</v>
      </c>
      <c r="AD85" s="174" t="s">
        <v>16</v>
      </c>
      <c r="AE85" s="174" t="s">
        <v>16</v>
      </c>
      <c r="AF85" s="174" t="s">
        <v>16</v>
      </c>
      <c r="AG85" s="174" t="s">
        <v>16</v>
      </c>
      <c r="AH85" s="174" t="s">
        <v>16</v>
      </c>
      <c r="AI85" s="56" t="s">
        <v>16</v>
      </c>
      <c r="AJ85" s="73" t="s">
        <v>16</v>
      </c>
      <c r="AK85" s="174" t="s">
        <v>16</v>
      </c>
      <c r="AL85" s="174" t="s">
        <v>16</v>
      </c>
      <c r="AM85" s="174" t="s">
        <v>16</v>
      </c>
      <c r="AN85" s="73" t="s">
        <v>11</v>
      </c>
      <c r="AO85" s="56" t="s">
        <v>16</v>
      </c>
      <c r="AP85" s="271" t="s">
        <v>630</v>
      </c>
      <c r="AQ85" s="56" t="s">
        <v>20</v>
      </c>
      <c r="AR85" s="73" t="s">
        <v>20</v>
      </c>
      <c r="AS85" s="227" t="s">
        <v>16</v>
      </c>
      <c r="AT85" s="227" t="s">
        <v>16</v>
      </c>
      <c r="AU85" s="227" t="s">
        <v>16</v>
      </c>
      <c r="AV85" s="227" t="s">
        <v>16</v>
      </c>
      <c r="AW85" s="227" t="s">
        <v>16</v>
      </c>
      <c r="AX85" s="227" t="s">
        <v>16</v>
      </c>
      <c r="AY85" s="227" t="s">
        <v>16</v>
      </c>
      <c r="AZ85" s="227" t="s">
        <v>16</v>
      </c>
      <c r="BA85" s="227" t="s">
        <v>16</v>
      </c>
      <c r="BB85" s="227" t="s">
        <v>16</v>
      </c>
      <c r="BC85" s="227" t="s">
        <v>16</v>
      </c>
      <c r="BD85" s="275" t="s">
        <v>20</v>
      </c>
      <c r="BE85" s="70"/>
    </row>
    <row r="86" spans="1:57" x14ac:dyDescent="0.25">
      <c r="A86" s="217" t="s">
        <v>63</v>
      </c>
      <c r="B86" s="218" t="s">
        <v>64</v>
      </c>
      <c r="C86" s="174"/>
      <c r="D86" s="225" t="s">
        <v>16</v>
      </c>
      <c r="E86" s="173" t="s">
        <v>631</v>
      </c>
      <c r="F86" s="173">
        <v>3777</v>
      </c>
      <c r="G86" s="55" t="s">
        <v>812</v>
      </c>
      <c r="H86" s="73">
        <v>140</v>
      </c>
      <c r="I86" s="174">
        <v>798</v>
      </c>
      <c r="J86" s="174" t="s">
        <v>16</v>
      </c>
      <c r="K86" s="174" t="s">
        <v>16</v>
      </c>
      <c r="L86" s="174" t="s">
        <v>16</v>
      </c>
      <c r="M86" s="174" t="s">
        <v>16</v>
      </c>
      <c r="N86" s="174" t="s">
        <v>16</v>
      </c>
      <c r="O86" s="174" t="s">
        <v>16</v>
      </c>
      <c r="P86" s="174" t="s">
        <v>16</v>
      </c>
      <c r="Q86" s="174" t="s">
        <v>16</v>
      </c>
      <c r="R86" s="174" t="s">
        <v>16</v>
      </c>
      <c r="S86" s="174" t="s">
        <v>16</v>
      </c>
      <c r="T86" s="174" t="s">
        <v>16</v>
      </c>
      <c r="U86" s="174" t="s">
        <v>16</v>
      </c>
      <c r="V86" s="174" t="s">
        <v>16</v>
      </c>
      <c r="W86" s="174" t="s">
        <v>16</v>
      </c>
      <c r="X86" s="56">
        <v>938</v>
      </c>
      <c r="Y86" s="73" t="s">
        <v>16</v>
      </c>
      <c r="Z86" s="174" t="s">
        <v>16</v>
      </c>
      <c r="AA86" s="56" t="s">
        <v>16</v>
      </c>
      <c r="AB86" s="73" t="s">
        <v>16</v>
      </c>
      <c r="AC86" s="174" t="s">
        <v>16</v>
      </c>
      <c r="AD86" s="174" t="s">
        <v>16</v>
      </c>
      <c r="AE86" s="174" t="s">
        <v>16</v>
      </c>
      <c r="AF86" s="174" t="s">
        <v>16</v>
      </c>
      <c r="AG86" s="174" t="s">
        <v>16</v>
      </c>
      <c r="AH86" s="174" t="s">
        <v>16</v>
      </c>
      <c r="AI86" s="56" t="s">
        <v>16</v>
      </c>
      <c r="AJ86" s="73" t="s">
        <v>16</v>
      </c>
      <c r="AK86" s="174" t="s">
        <v>16</v>
      </c>
      <c r="AL86" s="174" t="s">
        <v>16</v>
      </c>
      <c r="AM86" s="174" t="s">
        <v>16</v>
      </c>
      <c r="AN86" s="73" t="s">
        <v>50</v>
      </c>
      <c r="AO86" s="56" t="s">
        <v>16</v>
      </c>
      <c r="AP86" s="174" t="s">
        <v>20</v>
      </c>
      <c r="AQ86" s="56" t="s">
        <v>20</v>
      </c>
      <c r="AR86" s="73" t="s">
        <v>20</v>
      </c>
      <c r="AS86" s="174" t="s">
        <v>16</v>
      </c>
      <c r="AT86" s="174" t="s">
        <v>16</v>
      </c>
      <c r="AU86" s="174" t="s">
        <v>16</v>
      </c>
      <c r="AV86" s="174" t="s">
        <v>16</v>
      </c>
      <c r="AW86" s="174" t="s">
        <v>16</v>
      </c>
      <c r="AX86" s="174" t="s">
        <v>16</v>
      </c>
      <c r="AY86" s="174" t="s">
        <v>16</v>
      </c>
      <c r="AZ86" s="174" t="s">
        <v>16</v>
      </c>
      <c r="BA86" s="174" t="s">
        <v>16</v>
      </c>
      <c r="BB86" s="174" t="s">
        <v>16</v>
      </c>
      <c r="BC86" s="174" t="s">
        <v>16</v>
      </c>
      <c r="BD86" s="70" t="s">
        <v>20</v>
      </c>
      <c r="BE86" s="70"/>
    </row>
    <row r="87" spans="1:57" x14ac:dyDescent="0.25">
      <c r="A87" s="217" t="s">
        <v>65</v>
      </c>
      <c r="B87" s="218" t="s">
        <v>66</v>
      </c>
      <c r="C87" s="174"/>
      <c r="D87" s="225" t="s">
        <v>16</v>
      </c>
      <c r="E87" s="173">
        <v>8497</v>
      </c>
      <c r="F87" s="173">
        <v>8497</v>
      </c>
      <c r="G87" s="56" t="s">
        <v>20</v>
      </c>
      <c r="H87" s="73" t="s">
        <v>16</v>
      </c>
      <c r="I87" s="174" t="s">
        <v>16</v>
      </c>
      <c r="J87" s="174" t="s">
        <v>16</v>
      </c>
      <c r="K87" s="174" t="s">
        <v>16</v>
      </c>
      <c r="L87" s="174" t="s">
        <v>16</v>
      </c>
      <c r="M87" s="174" t="s">
        <v>16</v>
      </c>
      <c r="N87" s="174" t="s">
        <v>16</v>
      </c>
      <c r="O87" s="174" t="s">
        <v>16</v>
      </c>
      <c r="P87" s="174" t="s">
        <v>16</v>
      </c>
      <c r="Q87" s="174" t="s">
        <v>16</v>
      </c>
      <c r="R87" s="174" t="s">
        <v>16</v>
      </c>
      <c r="S87" s="174" t="s">
        <v>16</v>
      </c>
      <c r="T87" s="174" t="s">
        <v>16</v>
      </c>
      <c r="U87" s="174" t="s">
        <v>16</v>
      </c>
      <c r="V87" s="174" t="s">
        <v>16</v>
      </c>
      <c r="W87" s="174" t="s">
        <v>16</v>
      </c>
      <c r="X87" s="56" t="s">
        <v>16</v>
      </c>
      <c r="Y87" s="73" t="s">
        <v>16</v>
      </c>
      <c r="Z87" s="174" t="s">
        <v>16</v>
      </c>
      <c r="AA87" s="56" t="s">
        <v>16</v>
      </c>
      <c r="AB87" s="73" t="s">
        <v>16</v>
      </c>
      <c r="AC87" s="174" t="s">
        <v>16</v>
      </c>
      <c r="AD87" s="174" t="s">
        <v>16</v>
      </c>
      <c r="AE87" s="174" t="s">
        <v>16</v>
      </c>
      <c r="AF87" s="174" t="s">
        <v>16</v>
      </c>
      <c r="AG87" s="174" t="s">
        <v>16</v>
      </c>
      <c r="AH87" s="174" t="s">
        <v>16</v>
      </c>
      <c r="AI87" s="56" t="s">
        <v>16</v>
      </c>
      <c r="AJ87" s="73" t="s">
        <v>16</v>
      </c>
      <c r="AK87" s="174" t="s">
        <v>16</v>
      </c>
      <c r="AL87" s="174" t="s">
        <v>16</v>
      </c>
      <c r="AM87" s="174" t="s">
        <v>16</v>
      </c>
      <c r="AN87" s="73" t="s">
        <v>20</v>
      </c>
      <c r="AO87" s="56" t="s">
        <v>16</v>
      </c>
      <c r="AP87" s="174" t="s">
        <v>20</v>
      </c>
      <c r="AQ87" s="56" t="s">
        <v>20</v>
      </c>
      <c r="AR87" s="73" t="s">
        <v>20</v>
      </c>
      <c r="AS87" s="174" t="s">
        <v>16</v>
      </c>
      <c r="AT87" s="174" t="s">
        <v>16</v>
      </c>
      <c r="AU87" s="174" t="s">
        <v>16</v>
      </c>
      <c r="AV87" s="174" t="s">
        <v>16</v>
      </c>
      <c r="AW87" s="174" t="s">
        <v>16</v>
      </c>
      <c r="AX87" s="174" t="s">
        <v>16</v>
      </c>
      <c r="AY87" s="174" t="s">
        <v>16</v>
      </c>
      <c r="AZ87" s="174" t="s">
        <v>16</v>
      </c>
      <c r="BA87" s="174" t="s">
        <v>16</v>
      </c>
      <c r="BB87" s="174" t="s">
        <v>16</v>
      </c>
      <c r="BC87" s="174" t="s">
        <v>16</v>
      </c>
      <c r="BD87" s="70" t="s">
        <v>20</v>
      </c>
      <c r="BE87" s="70"/>
    </row>
    <row r="88" spans="1:57" x14ac:dyDescent="0.25">
      <c r="A88" s="217" t="s">
        <v>67</v>
      </c>
      <c r="B88" s="218" t="s">
        <v>68</v>
      </c>
      <c r="C88" s="174"/>
      <c r="D88" s="225" t="s">
        <v>16</v>
      </c>
      <c r="E88" s="174" t="s">
        <v>16</v>
      </c>
      <c r="F88" s="174" t="s">
        <v>16</v>
      </c>
      <c r="G88" s="56" t="s">
        <v>16</v>
      </c>
      <c r="H88" s="73" t="s">
        <v>16</v>
      </c>
      <c r="I88" s="174" t="s">
        <v>16</v>
      </c>
      <c r="J88" s="174" t="s">
        <v>16</v>
      </c>
      <c r="K88" s="174" t="s">
        <v>16</v>
      </c>
      <c r="L88" s="174" t="s">
        <v>16</v>
      </c>
      <c r="M88" s="174" t="s">
        <v>16</v>
      </c>
      <c r="N88" s="174" t="s">
        <v>16</v>
      </c>
      <c r="O88" s="174" t="s">
        <v>16</v>
      </c>
      <c r="P88" s="174" t="s">
        <v>16</v>
      </c>
      <c r="Q88" s="174" t="s">
        <v>16</v>
      </c>
      <c r="R88" s="174" t="s">
        <v>16</v>
      </c>
      <c r="S88" s="174" t="s">
        <v>16</v>
      </c>
      <c r="T88" s="174" t="s">
        <v>16</v>
      </c>
      <c r="U88" s="174" t="s">
        <v>16</v>
      </c>
      <c r="V88" s="174" t="s">
        <v>16</v>
      </c>
      <c r="W88" s="174" t="s">
        <v>16</v>
      </c>
      <c r="X88" s="56" t="s">
        <v>16</v>
      </c>
      <c r="Y88" s="73" t="s">
        <v>16</v>
      </c>
      <c r="Z88" s="174" t="s">
        <v>16</v>
      </c>
      <c r="AA88" s="56" t="s">
        <v>16</v>
      </c>
      <c r="AB88" s="73" t="s">
        <v>16</v>
      </c>
      <c r="AC88" s="174" t="s">
        <v>16</v>
      </c>
      <c r="AD88" s="174" t="s">
        <v>16</v>
      </c>
      <c r="AE88" s="174" t="s">
        <v>16</v>
      </c>
      <c r="AF88" s="174" t="s">
        <v>16</v>
      </c>
      <c r="AG88" s="174" t="s">
        <v>16</v>
      </c>
      <c r="AH88" s="174" t="s">
        <v>16</v>
      </c>
      <c r="AI88" s="56" t="s">
        <v>16</v>
      </c>
      <c r="AJ88" s="73" t="s">
        <v>16</v>
      </c>
      <c r="AK88" s="174" t="s">
        <v>16</v>
      </c>
      <c r="AL88" s="174" t="s">
        <v>16</v>
      </c>
      <c r="AM88" s="174" t="s">
        <v>16</v>
      </c>
      <c r="AN88" s="73" t="s">
        <v>20</v>
      </c>
      <c r="AO88" s="56" t="s">
        <v>16</v>
      </c>
      <c r="AP88" s="174" t="s">
        <v>20</v>
      </c>
      <c r="AQ88" s="56" t="s">
        <v>20</v>
      </c>
      <c r="AR88" s="73" t="s">
        <v>20</v>
      </c>
      <c r="AS88" s="174" t="s">
        <v>16</v>
      </c>
      <c r="AT88" s="174" t="s">
        <v>16</v>
      </c>
      <c r="AU88" s="174" t="s">
        <v>16</v>
      </c>
      <c r="AV88" s="174" t="s">
        <v>16</v>
      </c>
      <c r="AW88" s="174" t="s">
        <v>16</v>
      </c>
      <c r="AX88" s="174" t="s">
        <v>16</v>
      </c>
      <c r="AY88" s="174" t="s">
        <v>16</v>
      </c>
      <c r="AZ88" s="174" t="s">
        <v>16</v>
      </c>
      <c r="BA88" s="174" t="s">
        <v>16</v>
      </c>
      <c r="BB88" s="174" t="s">
        <v>16</v>
      </c>
      <c r="BC88" s="174" t="s">
        <v>16</v>
      </c>
      <c r="BD88" s="70" t="s">
        <v>20</v>
      </c>
      <c r="BE88" s="70"/>
    </row>
    <row r="89" spans="1:57" x14ac:dyDescent="0.25">
      <c r="A89" s="217" t="s">
        <v>69</v>
      </c>
      <c r="B89" s="218" t="s">
        <v>70</v>
      </c>
      <c r="C89" s="174"/>
      <c r="D89" s="225" t="s">
        <v>16</v>
      </c>
      <c r="E89" s="174" t="s">
        <v>16</v>
      </c>
      <c r="F89" s="174" t="s">
        <v>16</v>
      </c>
      <c r="G89" s="56" t="s">
        <v>16</v>
      </c>
      <c r="H89" s="73" t="s">
        <v>16</v>
      </c>
      <c r="I89" s="174" t="s">
        <v>16</v>
      </c>
      <c r="J89" s="174" t="s">
        <v>16</v>
      </c>
      <c r="K89" s="174" t="s">
        <v>16</v>
      </c>
      <c r="L89" s="174" t="s">
        <v>16</v>
      </c>
      <c r="M89" s="174" t="s">
        <v>16</v>
      </c>
      <c r="N89" s="174" t="s">
        <v>16</v>
      </c>
      <c r="O89" s="174" t="s">
        <v>16</v>
      </c>
      <c r="P89" s="174" t="s">
        <v>16</v>
      </c>
      <c r="Q89" s="174" t="s">
        <v>16</v>
      </c>
      <c r="R89" s="174" t="s">
        <v>16</v>
      </c>
      <c r="S89" s="174" t="s">
        <v>16</v>
      </c>
      <c r="T89" s="174" t="s">
        <v>16</v>
      </c>
      <c r="U89" s="174" t="s">
        <v>16</v>
      </c>
      <c r="V89" s="174" t="s">
        <v>16</v>
      </c>
      <c r="W89" s="174" t="s">
        <v>16</v>
      </c>
      <c r="X89" s="56" t="s">
        <v>16</v>
      </c>
      <c r="Y89" s="73" t="s">
        <v>16</v>
      </c>
      <c r="Z89" s="174" t="s">
        <v>16</v>
      </c>
      <c r="AA89" s="56" t="s">
        <v>16</v>
      </c>
      <c r="AB89" s="73" t="s">
        <v>16</v>
      </c>
      <c r="AC89" s="174" t="s">
        <v>16</v>
      </c>
      <c r="AD89" s="174" t="s">
        <v>16</v>
      </c>
      <c r="AE89" s="174" t="s">
        <v>16</v>
      </c>
      <c r="AF89" s="174" t="s">
        <v>16</v>
      </c>
      <c r="AG89" s="174" t="s">
        <v>16</v>
      </c>
      <c r="AH89" s="174" t="s">
        <v>16</v>
      </c>
      <c r="AI89" s="56" t="s">
        <v>16</v>
      </c>
      <c r="AJ89" s="73" t="s">
        <v>16</v>
      </c>
      <c r="AK89" s="174" t="s">
        <v>16</v>
      </c>
      <c r="AL89" s="174" t="s">
        <v>16</v>
      </c>
      <c r="AM89" s="174" t="s">
        <v>16</v>
      </c>
      <c r="AN89" s="73" t="s">
        <v>20</v>
      </c>
      <c r="AO89" s="56" t="s">
        <v>16</v>
      </c>
      <c r="AP89" s="174" t="s">
        <v>20</v>
      </c>
      <c r="AQ89" s="56" t="s">
        <v>20</v>
      </c>
      <c r="AR89" s="73" t="s">
        <v>20</v>
      </c>
      <c r="AS89" s="174" t="s">
        <v>16</v>
      </c>
      <c r="AT89" s="174" t="s">
        <v>16</v>
      </c>
      <c r="AU89" s="174" t="s">
        <v>16</v>
      </c>
      <c r="AV89" s="174" t="s">
        <v>16</v>
      </c>
      <c r="AW89" s="174" t="s">
        <v>16</v>
      </c>
      <c r="AX89" s="174" t="s">
        <v>16</v>
      </c>
      <c r="AY89" s="174" t="s">
        <v>16</v>
      </c>
      <c r="AZ89" s="174" t="s">
        <v>16</v>
      </c>
      <c r="BA89" s="174" t="s">
        <v>16</v>
      </c>
      <c r="BB89" s="174" t="s">
        <v>16</v>
      </c>
      <c r="BC89" s="174" t="s">
        <v>16</v>
      </c>
      <c r="BD89" s="70" t="s">
        <v>20</v>
      </c>
      <c r="BE89" s="70"/>
    </row>
    <row r="90" spans="1:57" x14ac:dyDescent="0.25">
      <c r="A90" s="217" t="s">
        <v>71</v>
      </c>
      <c r="B90" s="218" t="s">
        <v>634</v>
      </c>
      <c r="C90" s="174"/>
      <c r="D90" s="225" t="s">
        <v>16</v>
      </c>
      <c r="E90" s="174">
        <v>349</v>
      </c>
      <c r="F90" s="174" t="s">
        <v>20</v>
      </c>
      <c r="G90" s="56" t="s">
        <v>20</v>
      </c>
      <c r="H90" s="73" t="s">
        <v>632</v>
      </c>
      <c r="I90" s="174">
        <v>209</v>
      </c>
      <c r="J90" s="174" t="s">
        <v>16</v>
      </c>
      <c r="K90" s="174" t="s">
        <v>16</v>
      </c>
      <c r="L90" s="174" t="s">
        <v>16</v>
      </c>
      <c r="M90" s="174" t="s">
        <v>16</v>
      </c>
      <c r="N90" s="174" t="s">
        <v>16</v>
      </c>
      <c r="O90" s="174" t="s">
        <v>16</v>
      </c>
      <c r="P90" s="174" t="s">
        <v>16</v>
      </c>
      <c r="Q90" s="174" t="s">
        <v>16</v>
      </c>
      <c r="R90" s="174" t="s">
        <v>16</v>
      </c>
      <c r="S90" s="174" t="s">
        <v>16</v>
      </c>
      <c r="T90" s="174" t="s">
        <v>16</v>
      </c>
      <c r="U90" s="174" t="s">
        <v>16</v>
      </c>
      <c r="V90" s="174" t="s">
        <v>16</v>
      </c>
      <c r="W90" s="174" t="s">
        <v>16</v>
      </c>
      <c r="X90" s="56">
        <v>290</v>
      </c>
      <c r="Y90" s="73" t="s">
        <v>16</v>
      </c>
      <c r="Z90" s="174" t="s">
        <v>16</v>
      </c>
      <c r="AA90" s="56" t="s">
        <v>16</v>
      </c>
      <c r="AB90" s="73" t="s">
        <v>182</v>
      </c>
      <c r="AC90" s="174" t="s">
        <v>182</v>
      </c>
      <c r="AD90" s="174" t="s">
        <v>182</v>
      </c>
      <c r="AE90" s="174" t="s">
        <v>182</v>
      </c>
      <c r="AF90" s="174" t="s">
        <v>182</v>
      </c>
      <c r="AG90" s="174" t="s">
        <v>182</v>
      </c>
      <c r="AH90" s="174" t="s">
        <v>182</v>
      </c>
      <c r="AI90" s="56" t="s">
        <v>20</v>
      </c>
      <c r="AJ90" s="73" t="s">
        <v>182</v>
      </c>
      <c r="AK90" s="174" t="s">
        <v>182</v>
      </c>
      <c r="AL90" s="174" t="s">
        <v>182</v>
      </c>
      <c r="AM90" s="174" t="s">
        <v>20</v>
      </c>
      <c r="AN90" s="73" t="s">
        <v>20</v>
      </c>
      <c r="AO90" s="56" t="s">
        <v>16</v>
      </c>
      <c r="AP90" s="174" t="s">
        <v>20</v>
      </c>
      <c r="AQ90" s="56" t="s">
        <v>20</v>
      </c>
      <c r="AR90" s="73" t="s">
        <v>182</v>
      </c>
      <c r="AS90" s="174" t="s">
        <v>20</v>
      </c>
      <c r="AT90" s="174" t="s">
        <v>20</v>
      </c>
      <c r="AU90" s="174" t="s">
        <v>20</v>
      </c>
      <c r="AV90" s="174" t="s">
        <v>20</v>
      </c>
      <c r="AW90" s="174" t="s">
        <v>20</v>
      </c>
      <c r="AX90" s="174" t="s">
        <v>20</v>
      </c>
      <c r="AY90" s="174" t="s">
        <v>20</v>
      </c>
      <c r="AZ90" s="174" t="s">
        <v>20</v>
      </c>
      <c r="BA90" s="174" t="s">
        <v>20</v>
      </c>
      <c r="BB90" s="174" t="s">
        <v>20</v>
      </c>
      <c r="BC90" s="174" t="s">
        <v>20</v>
      </c>
      <c r="BD90" s="70" t="s">
        <v>20</v>
      </c>
      <c r="BE90" s="70" t="s">
        <v>633</v>
      </c>
    </row>
    <row r="91" spans="1:57" x14ac:dyDescent="0.25">
      <c r="A91" s="217" t="s">
        <v>72</v>
      </c>
      <c r="B91" s="218" t="s">
        <v>73</v>
      </c>
      <c r="C91" s="174"/>
      <c r="D91" s="225" t="s">
        <v>16</v>
      </c>
      <c r="E91" s="173">
        <v>2600</v>
      </c>
      <c r="F91" s="173">
        <v>2600</v>
      </c>
      <c r="G91" s="56" t="s">
        <v>20</v>
      </c>
      <c r="H91" s="73" t="s">
        <v>16</v>
      </c>
      <c r="I91" s="174" t="s">
        <v>16</v>
      </c>
      <c r="J91" s="174" t="s">
        <v>16</v>
      </c>
      <c r="K91" s="174" t="s">
        <v>16</v>
      </c>
      <c r="L91" s="174" t="s">
        <v>16</v>
      </c>
      <c r="M91" s="174" t="s">
        <v>16</v>
      </c>
      <c r="N91" s="174" t="s">
        <v>16</v>
      </c>
      <c r="O91" s="174" t="s">
        <v>16</v>
      </c>
      <c r="P91" s="174" t="s">
        <v>16</v>
      </c>
      <c r="Q91" s="174" t="s">
        <v>16</v>
      </c>
      <c r="R91" s="174" t="s">
        <v>16</v>
      </c>
      <c r="S91" s="174" t="s">
        <v>16</v>
      </c>
      <c r="T91" s="174" t="s">
        <v>16</v>
      </c>
      <c r="U91" s="174" t="s">
        <v>16</v>
      </c>
      <c r="V91" s="174" t="s">
        <v>16</v>
      </c>
      <c r="W91" s="174" t="s">
        <v>16</v>
      </c>
      <c r="X91" s="56" t="s">
        <v>16</v>
      </c>
      <c r="Y91" s="73" t="s">
        <v>16</v>
      </c>
      <c r="Z91" s="174" t="s">
        <v>16</v>
      </c>
      <c r="AA91" s="56" t="s">
        <v>16</v>
      </c>
      <c r="AB91" s="73" t="s">
        <v>16</v>
      </c>
      <c r="AC91" s="174" t="s">
        <v>182</v>
      </c>
      <c r="AD91" s="174" t="s">
        <v>182</v>
      </c>
      <c r="AE91" s="174" t="s">
        <v>182</v>
      </c>
      <c r="AF91" s="174" t="s">
        <v>16</v>
      </c>
      <c r="AG91" s="174" t="s">
        <v>182</v>
      </c>
      <c r="AH91" s="174" t="s">
        <v>16</v>
      </c>
      <c r="AI91" s="56" t="s">
        <v>20</v>
      </c>
      <c r="AJ91" s="73" t="s">
        <v>182</v>
      </c>
      <c r="AK91" s="174" t="s">
        <v>182</v>
      </c>
      <c r="AL91" s="174" t="s">
        <v>16</v>
      </c>
      <c r="AM91" s="174" t="s">
        <v>20</v>
      </c>
      <c r="AN91" s="73" t="s">
        <v>20</v>
      </c>
      <c r="AO91" s="223" t="s">
        <v>16</v>
      </c>
      <c r="AP91" s="174" t="s">
        <v>20</v>
      </c>
      <c r="AQ91" s="56" t="s">
        <v>20</v>
      </c>
      <c r="AR91" s="73" t="s">
        <v>182</v>
      </c>
      <c r="AS91" s="174" t="s">
        <v>20</v>
      </c>
      <c r="AT91" s="174" t="s">
        <v>20</v>
      </c>
      <c r="AU91" s="174" t="s">
        <v>20</v>
      </c>
      <c r="AV91" s="174" t="s">
        <v>20</v>
      </c>
      <c r="AW91" s="174" t="s">
        <v>20</v>
      </c>
      <c r="AX91" s="174" t="s">
        <v>20</v>
      </c>
      <c r="AY91" s="174" t="s">
        <v>20</v>
      </c>
      <c r="AZ91" s="174" t="s">
        <v>20</v>
      </c>
      <c r="BA91" s="174" t="s">
        <v>20</v>
      </c>
      <c r="BB91" s="174" t="s">
        <v>20</v>
      </c>
      <c r="BC91" s="174" t="s">
        <v>20</v>
      </c>
      <c r="BD91" s="70" t="s">
        <v>20</v>
      </c>
      <c r="BE91" s="70"/>
    </row>
    <row r="92" spans="1:57" x14ac:dyDescent="0.25">
      <c r="A92" s="217" t="s">
        <v>154</v>
      </c>
      <c r="B92" s="218" t="s">
        <v>178</v>
      </c>
      <c r="C92" s="174"/>
      <c r="D92" s="225" t="s">
        <v>182</v>
      </c>
      <c r="E92" s="174"/>
      <c r="F92" s="174"/>
      <c r="G92" s="56"/>
      <c r="H92" s="73"/>
      <c r="I92" s="174"/>
      <c r="J92" s="174"/>
      <c r="K92" s="174"/>
      <c r="L92" s="174"/>
      <c r="M92" s="174" t="s">
        <v>16</v>
      </c>
      <c r="N92" s="174"/>
      <c r="O92" s="174"/>
      <c r="P92" s="174"/>
      <c r="Q92" s="174"/>
      <c r="R92" s="174"/>
      <c r="S92" s="174"/>
      <c r="T92" s="174"/>
      <c r="U92" s="174"/>
      <c r="V92" s="174"/>
      <c r="W92" s="174"/>
      <c r="X92" s="56">
        <f>SUM(Tabela1[[#This Row],[AD Case]:[AD Control]])</f>
        <v>0</v>
      </c>
      <c r="Y92" s="73"/>
      <c r="Z92" s="238"/>
      <c r="AA92" s="223">
        <f>SUM(Tabela1[[#This Row],[Nº of females]:[Nº of males]])</f>
        <v>0</v>
      </c>
      <c r="AB92" s="73"/>
      <c r="AC92" s="174"/>
      <c r="AD92" s="174"/>
      <c r="AE92" s="174"/>
      <c r="AF92" s="174"/>
      <c r="AG92" s="174"/>
      <c r="AH92" s="174"/>
      <c r="AI92" s="56"/>
      <c r="AJ92" s="73"/>
      <c r="AK92" s="174"/>
      <c r="AL92" s="174"/>
      <c r="AM92" s="174"/>
      <c r="AN92" s="73" t="s">
        <v>25</v>
      </c>
      <c r="AO92" s="223"/>
      <c r="AP92" s="239"/>
      <c r="AQ92" s="56"/>
      <c r="AR92" s="73"/>
      <c r="AS92" s="174"/>
      <c r="AT92" s="174"/>
      <c r="AU92" s="174"/>
      <c r="AV92" s="174"/>
      <c r="AW92" s="174"/>
      <c r="AX92" s="174"/>
      <c r="AY92" s="174"/>
      <c r="AZ92" s="174"/>
      <c r="BA92" s="250"/>
      <c r="BB92" s="250"/>
      <c r="BC92" s="174"/>
      <c r="BD92" s="70"/>
      <c r="BE92" s="70"/>
    </row>
    <row r="93" spans="1:57" x14ac:dyDescent="0.25">
      <c r="A93" s="217" t="s">
        <v>155</v>
      </c>
      <c r="B93" s="218" t="s">
        <v>54</v>
      </c>
      <c r="C93" s="174"/>
      <c r="D93" s="225" t="s">
        <v>182</v>
      </c>
      <c r="E93" s="174"/>
      <c r="F93" s="174"/>
      <c r="G93" s="56"/>
      <c r="H93" s="73"/>
      <c r="I93" s="174"/>
      <c r="J93" s="174"/>
      <c r="K93" s="174"/>
      <c r="L93" s="174"/>
      <c r="M93" s="174" t="s">
        <v>16</v>
      </c>
      <c r="N93" s="174"/>
      <c r="O93" s="174"/>
      <c r="P93" s="174"/>
      <c r="Q93" s="174"/>
      <c r="R93" s="174"/>
      <c r="S93" s="174"/>
      <c r="T93" s="174"/>
      <c r="U93" s="174"/>
      <c r="V93" s="174"/>
      <c r="W93" s="174"/>
      <c r="X93" s="56">
        <f>SUM(Tabela1[[#This Row],[AD Case]:[AD Control]])</f>
        <v>0</v>
      </c>
      <c r="Y93" s="73"/>
      <c r="Z93" s="238"/>
      <c r="AA93" s="223">
        <f>SUM(Tabela1[[#This Row],[Nº of females]:[Nº of males]])</f>
        <v>0</v>
      </c>
      <c r="AB93" s="73"/>
      <c r="AC93" s="174"/>
      <c r="AD93" s="174"/>
      <c r="AE93" s="174"/>
      <c r="AF93" s="174"/>
      <c r="AG93" s="174"/>
      <c r="AH93" s="174"/>
      <c r="AI93" s="56"/>
      <c r="AJ93" s="73"/>
      <c r="AK93" s="174"/>
      <c r="AL93" s="174"/>
      <c r="AM93" s="174"/>
      <c r="AN93" s="73" t="s">
        <v>25</v>
      </c>
      <c r="AO93" s="223"/>
      <c r="AP93" s="239"/>
      <c r="AQ93" s="56"/>
      <c r="AR93" s="73"/>
      <c r="AS93" s="174"/>
      <c r="AT93" s="174"/>
      <c r="AU93" s="174"/>
      <c r="AV93" s="174"/>
      <c r="AW93" s="174"/>
      <c r="AX93" s="174"/>
      <c r="AY93" s="174"/>
      <c r="AZ93" s="174"/>
      <c r="BA93" s="250"/>
      <c r="BB93" s="250"/>
      <c r="BC93" s="174"/>
      <c r="BD93" s="70"/>
      <c r="BE93" s="70"/>
    </row>
    <row r="94" spans="1:57" x14ac:dyDescent="0.25">
      <c r="A94" s="217" t="s">
        <v>156</v>
      </c>
      <c r="B94" s="218" t="s">
        <v>179</v>
      </c>
      <c r="C94" s="219" t="s">
        <v>16</v>
      </c>
      <c r="D94" s="225" t="s">
        <v>182</v>
      </c>
      <c r="E94" s="174">
        <f>SUM(Tabela1[[#This Row],[AD Case]:[AD Control]])</f>
        <v>1821</v>
      </c>
      <c r="F94" s="174" t="s">
        <v>20</v>
      </c>
      <c r="G94" s="56" t="s">
        <v>20</v>
      </c>
      <c r="H94" s="73">
        <v>1338</v>
      </c>
      <c r="I94" s="174">
        <v>483</v>
      </c>
      <c r="J94" s="174"/>
      <c r="K94" s="174"/>
      <c r="L94" s="174"/>
      <c r="M94" s="174" t="s">
        <v>16</v>
      </c>
      <c r="N94" s="174"/>
      <c r="O94" s="174"/>
      <c r="P94" s="174"/>
      <c r="Q94" s="174"/>
      <c r="R94" s="174"/>
      <c r="S94" s="174"/>
      <c r="T94" s="174"/>
      <c r="U94" s="174"/>
      <c r="V94" s="174"/>
      <c r="W94" s="174"/>
      <c r="X94" s="56">
        <f>SUM(Tabela1[[#This Row],[AD Case]:[AD Control]])</f>
        <v>1821</v>
      </c>
      <c r="Y94" s="73"/>
      <c r="Z94" s="238"/>
      <c r="AA94" s="223">
        <f>SUM(Tabela1[[#This Row],[Nº of females]:[Nº of males]])</f>
        <v>0</v>
      </c>
      <c r="AB94" s="73"/>
      <c r="AC94" s="174"/>
      <c r="AD94" s="174"/>
      <c r="AE94" s="174"/>
      <c r="AF94" s="174"/>
      <c r="AG94" s="174"/>
      <c r="AH94" s="174"/>
      <c r="AI94" s="56"/>
      <c r="AJ94" s="73"/>
      <c r="AK94" s="174"/>
      <c r="AL94" s="174"/>
      <c r="AM94" s="174"/>
      <c r="AN94" s="73" t="s">
        <v>50</v>
      </c>
      <c r="AO94" s="56" t="s">
        <v>392</v>
      </c>
      <c r="AP94" s="239" t="s">
        <v>504</v>
      </c>
      <c r="AQ94" s="56" t="s">
        <v>16</v>
      </c>
      <c r="AR94" s="73" t="s">
        <v>182</v>
      </c>
      <c r="AS94" s="174" t="s">
        <v>20</v>
      </c>
      <c r="AT94" s="174" t="s">
        <v>20</v>
      </c>
      <c r="AU94" s="174" t="s">
        <v>20</v>
      </c>
      <c r="AV94" s="174" t="s">
        <v>20</v>
      </c>
      <c r="AW94" s="174" t="s">
        <v>20</v>
      </c>
      <c r="AX94" s="174" t="s">
        <v>20</v>
      </c>
      <c r="AY94" s="174" t="s">
        <v>20</v>
      </c>
      <c r="AZ94" s="174" t="s">
        <v>16</v>
      </c>
      <c r="BA94" s="174" t="s">
        <v>16</v>
      </c>
      <c r="BB94" s="174" t="s">
        <v>16</v>
      </c>
      <c r="BC94" s="174" t="s">
        <v>16</v>
      </c>
      <c r="BD94" s="70" t="s">
        <v>243</v>
      </c>
      <c r="BE94" s="70"/>
    </row>
    <row r="95" spans="1:57" x14ac:dyDescent="0.25">
      <c r="A95" s="217" t="s">
        <v>157</v>
      </c>
      <c r="B95" s="218" t="s">
        <v>54</v>
      </c>
      <c r="C95" s="174"/>
      <c r="D95" s="225" t="s">
        <v>182</v>
      </c>
      <c r="E95" s="174"/>
      <c r="F95" s="174"/>
      <c r="G95" s="56"/>
      <c r="H95" s="73"/>
      <c r="I95" s="174"/>
      <c r="J95" s="174"/>
      <c r="K95" s="174"/>
      <c r="L95" s="174"/>
      <c r="M95" s="174" t="s">
        <v>16</v>
      </c>
      <c r="N95" s="174"/>
      <c r="O95" s="174"/>
      <c r="P95" s="174"/>
      <c r="Q95" s="174"/>
      <c r="R95" s="174"/>
      <c r="S95" s="174"/>
      <c r="T95" s="174"/>
      <c r="U95" s="174"/>
      <c r="V95" s="174"/>
      <c r="W95" s="174"/>
      <c r="X95" s="56">
        <f>SUM(Tabela1[[#This Row],[AD Case]:[AD Control]])</f>
        <v>0</v>
      </c>
      <c r="Y95" s="73"/>
      <c r="Z95" s="238"/>
      <c r="AA95" s="223">
        <f>SUM(Tabela1[[#This Row],[Nº of females]:[Nº of males]])</f>
        <v>0</v>
      </c>
      <c r="AB95" s="73"/>
      <c r="AC95" s="174"/>
      <c r="AD95" s="174"/>
      <c r="AE95" s="174"/>
      <c r="AF95" s="174"/>
      <c r="AG95" s="174"/>
      <c r="AH95" s="174"/>
      <c r="AI95" s="56"/>
      <c r="AJ95" s="73"/>
      <c r="AK95" s="174"/>
      <c r="AL95" s="174"/>
      <c r="AM95" s="174"/>
      <c r="AN95" s="73" t="s">
        <v>25</v>
      </c>
      <c r="AO95" s="223"/>
      <c r="AP95" s="239"/>
      <c r="AQ95" s="56"/>
      <c r="AR95" s="73"/>
      <c r="AS95" s="174"/>
      <c r="AT95" s="174"/>
      <c r="AU95" s="174"/>
      <c r="AV95" s="174"/>
      <c r="AW95" s="174"/>
      <c r="AX95" s="174"/>
      <c r="AY95" s="174"/>
      <c r="AZ95" s="174"/>
      <c r="BA95" s="250"/>
      <c r="BB95" s="250"/>
      <c r="BC95" s="174"/>
      <c r="BD95" s="70"/>
      <c r="BE95" s="70"/>
    </row>
    <row r="96" spans="1:57" x14ac:dyDescent="0.25">
      <c r="A96" s="217" t="s">
        <v>74</v>
      </c>
      <c r="B96" s="218" t="s">
        <v>610</v>
      </c>
      <c r="C96" s="227"/>
      <c r="D96" s="225" t="s">
        <v>16</v>
      </c>
      <c r="E96" s="237">
        <v>1702</v>
      </c>
      <c r="F96" s="237">
        <v>1702</v>
      </c>
      <c r="G96" s="55">
        <v>1014</v>
      </c>
      <c r="H96" s="73">
        <v>512</v>
      </c>
      <c r="I96" s="174">
        <v>793</v>
      </c>
      <c r="J96" s="174" t="s">
        <v>16</v>
      </c>
      <c r="K96" s="174" t="s">
        <v>16</v>
      </c>
      <c r="L96" s="249">
        <v>397</v>
      </c>
      <c r="M96" s="174" t="s">
        <v>16</v>
      </c>
      <c r="N96" s="174" t="s">
        <v>16</v>
      </c>
      <c r="O96" s="174" t="s">
        <v>16</v>
      </c>
      <c r="P96" s="174" t="s">
        <v>16</v>
      </c>
      <c r="Q96" s="174" t="s">
        <v>16</v>
      </c>
      <c r="R96" s="174" t="s">
        <v>16</v>
      </c>
      <c r="S96" s="174" t="s">
        <v>16</v>
      </c>
      <c r="T96" s="174" t="s">
        <v>16</v>
      </c>
      <c r="U96" s="174" t="s">
        <v>16</v>
      </c>
      <c r="V96" s="174" t="s">
        <v>16</v>
      </c>
      <c r="W96" s="174" t="s">
        <v>16</v>
      </c>
      <c r="X96" s="56">
        <f>SUM(Tabela1[[#This Row],[AD Case]:[AD Control]],Tabela1[[#This Row],[MCI Case]])</f>
        <v>1702</v>
      </c>
      <c r="Y96" s="58">
        <v>0.59</v>
      </c>
      <c r="Z96" s="259">
        <f>1-Tabela1[[#This Row],[Nº of females]]</f>
        <v>0.41000000000000003</v>
      </c>
      <c r="AA96" s="55">
        <v>1702</v>
      </c>
      <c r="AB96" s="73" t="s">
        <v>16</v>
      </c>
      <c r="AC96" s="174" t="s">
        <v>16</v>
      </c>
      <c r="AD96" s="174" t="s">
        <v>16</v>
      </c>
      <c r="AE96" s="174" t="s">
        <v>16</v>
      </c>
      <c r="AF96" s="174" t="s">
        <v>16</v>
      </c>
      <c r="AG96" s="174" t="s">
        <v>16</v>
      </c>
      <c r="AH96" s="174" t="s">
        <v>16</v>
      </c>
      <c r="AI96" s="56" t="s">
        <v>16</v>
      </c>
      <c r="AJ96" s="73" t="s">
        <v>16</v>
      </c>
      <c r="AK96" s="174" t="s">
        <v>16</v>
      </c>
      <c r="AL96" s="174" t="s">
        <v>16</v>
      </c>
      <c r="AM96" s="174" t="s">
        <v>16</v>
      </c>
      <c r="AN96" s="244" t="s">
        <v>11</v>
      </c>
      <c r="AO96" s="223" t="s">
        <v>612</v>
      </c>
      <c r="AP96" s="239" t="s">
        <v>611</v>
      </c>
      <c r="AQ96" s="56" t="s">
        <v>16</v>
      </c>
      <c r="AR96" s="73" t="s">
        <v>182</v>
      </c>
      <c r="AS96" s="174" t="s">
        <v>20</v>
      </c>
      <c r="AT96" s="174" t="s">
        <v>20</v>
      </c>
      <c r="AU96" s="174" t="s">
        <v>20</v>
      </c>
      <c r="AV96" s="174" t="s">
        <v>20</v>
      </c>
      <c r="AW96" s="174" t="s">
        <v>20</v>
      </c>
      <c r="AX96" s="174" t="s">
        <v>20</v>
      </c>
      <c r="AY96" s="174" t="s">
        <v>20</v>
      </c>
      <c r="AZ96" s="174" t="s">
        <v>20</v>
      </c>
      <c r="BA96" s="250">
        <v>0.54</v>
      </c>
      <c r="BB96" s="250">
        <v>0.25</v>
      </c>
      <c r="BC96" s="173">
        <v>1014</v>
      </c>
      <c r="BD96" s="70" t="s">
        <v>40</v>
      </c>
      <c r="BE96" s="70"/>
    </row>
    <row r="97" spans="1:57" x14ac:dyDescent="0.25">
      <c r="A97" s="217" t="s">
        <v>75</v>
      </c>
      <c r="B97" s="228" t="s">
        <v>579</v>
      </c>
      <c r="C97" s="174" t="s">
        <v>16</v>
      </c>
      <c r="D97" s="225" t="s">
        <v>16</v>
      </c>
      <c r="E97" s="237" t="s">
        <v>583</v>
      </c>
      <c r="F97" s="237" t="s">
        <v>583</v>
      </c>
      <c r="G97" s="56" t="s">
        <v>20</v>
      </c>
      <c r="H97" s="241" t="s">
        <v>576</v>
      </c>
      <c r="I97" s="237" t="s">
        <v>577</v>
      </c>
      <c r="J97" s="174" t="s">
        <v>16</v>
      </c>
      <c r="K97" s="174" t="s">
        <v>16</v>
      </c>
      <c r="L97" s="174" t="s">
        <v>16</v>
      </c>
      <c r="M97" s="174" t="s">
        <v>16</v>
      </c>
      <c r="N97" s="174" t="s">
        <v>16</v>
      </c>
      <c r="O97" s="174" t="s">
        <v>16</v>
      </c>
      <c r="P97" s="174" t="s">
        <v>16</v>
      </c>
      <c r="Q97" s="174" t="s">
        <v>16</v>
      </c>
      <c r="R97" s="174" t="s">
        <v>16</v>
      </c>
      <c r="S97" s="174" t="s">
        <v>16</v>
      </c>
      <c r="T97" s="174" t="s">
        <v>16</v>
      </c>
      <c r="U97" s="174" t="s">
        <v>16</v>
      </c>
      <c r="V97" s="174" t="s">
        <v>16</v>
      </c>
      <c r="W97" s="174" t="s">
        <v>16</v>
      </c>
      <c r="X97" s="220" t="s">
        <v>583</v>
      </c>
      <c r="Y97" s="73" t="s">
        <v>20</v>
      </c>
      <c r="Z97" s="174" t="s">
        <v>20</v>
      </c>
      <c r="AA97" s="56" t="s">
        <v>16</v>
      </c>
      <c r="AB97" s="73" t="s">
        <v>16</v>
      </c>
      <c r="AC97" s="174" t="s">
        <v>16</v>
      </c>
      <c r="AD97" s="174" t="s">
        <v>16</v>
      </c>
      <c r="AE97" s="174" t="s">
        <v>16</v>
      </c>
      <c r="AF97" s="174" t="s">
        <v>16</v>
      </c>
      <c r="AG97" s="174" t="s">
        <v>16</v>
      </c>
      <c r="AH97" s="174" t="s">
        <v>16</v>
      </c>
      <c r="AI97" s="56" t="s">
        <v>16</v>
      </c>
      <c r="AJ97" s="73" t="s">
        <v>16</v>
      </c>
      <c r="AK97" s="174" t="s">
        <v>16</v>
      </c>
      <c r="AL97" s="174" t="s">
        <v>16</v>
      </c>
      <c r="AM97" s="174" t="s">
        <v>16</v>
      </c>
      <c r="AN97" s="73" t="s">
        <v>578</v>
      </c>
      <c r="AO97" s="56" t="s">
        <v>16</v>
      </c>
      <c r="AP97" s="239" t="s">
        <v>584</v>
      </c>
      <c r="AQ97" s="56" t="s">
        <v>16</v>
      </c>
      <c r="AR97" s="73" t="s">
        <v>20</v>
      </c>
      <c r="AS97" s="174" t="s">
        <v>16</v>
      </c>
      <c r="AT97" s="174" t="s">
        <v>16</v>
      </c>
      <c r="AU97" s="174" t="s">
        <v>16</v>
      </c>
      <c r="AV97" s="174" t="s">
        <v>16</v>
      </c>
      <c r="AW97" s="174" t="s">
        <v>16</v>
      </c>
      <c r="AX97" s="174" t="s">
        <v>16</v>
      </c>
      <c r="AY97" s="174" t="s">
        <v>16</v>
      </c>
      <c r="AZ97" s="174" t="s">
        <v>16</v>
      </c>
      <c r="BA97" s="174" t="s">
        <v>16</v>
      </c>
      <c r="BB97" s="174" t="s">
        <v>16</v>
      </c>
      <c r="BC97" s="174" t="s">
        <v>16</v>
      </c>
      <c r="BD97" s="70" t="s">
        <v>20</v>
      </c>
      <c r="BE97" s="70" t="s">
        <v>589</v>
      </c>
    </row>
    <row r="98" spans="1:57" x14ac:dyDescent="0.25">
      <c r="A98" s="217" t="s">
        <v>76</v>
      </c>
      <c r="B98" s="228" t="s">
        <v>579</v>
      </c>
      <c r="C98" s="174" t="s">
        <v>16</v>
      </c>
      <c r="D98" s="225" t="s">
        <v>16</v>
      </c>
      <c r="E98" s="227">
        <v>244</v>
      </c>
      <c r="F98" s="227">
        <v>244</v>
      </c>
      <c r="G98" s="56" t="s">
        <v>20</v>
      </c>
      <c r="H98" s="241">
        <v>183</v>
      </c>
      <c r="I98" s="237">
        <v>61</v>
      </c>
      <c r="J98" s="174" t="s">
        <v>16</v>
      </c>
      <c r="K98" s="174" t="s">
        <v>16</v>
      </c>
      <c r="L98" s="174" t="s">
        <v>16</v>
      </c>
      <c r="M98" s="174" t="s">
        <v>16</v>
      </c>
      <c r="N98" s="174" t="s">
        <v>16</v>
      </c>
      <c r="O98" s="174" t="s">
        <v>16</v>
      </c>
      <c r="P98" s="174" t="s">
        <v>16</v>
      </c>
      <c r="Q98" s="174" t="s">
        <v>16</v>
      </c>
      <c r="R98" s="174" t="s">
        <v>16</v>
      </c>
      <c r="S98" s="174" t="s">
        <v>16</v>
      </c>
      <c r="T98" s="174" t="s">
        <v>16</v>
      </c>
      <c r="U98" s="174" t="s">
        <v>16</v>
      </c>
      <c r="V98" s="174" t="s">
        <v>16</v>
      </c>
      <c r="W98" s="174" t="s">
        <v>16</v>
      </c>
      <c r="X98" s="247">
        <v>244</v>
      </c>
      <c r="Y98" s="73" t="s">
        <v>20</v>
      </c>
      <c r="Z98" s="174" t="s">
        <v>20</v>
      </c>
      <c r="AA98" s="56" t="s">
        <v>16</v>
      </c>
      <c r="AB98" s="73" t="s">
        <v>16</v>
      </c>
      <c r="AC98" s="174" t="s">
        <v>16</v>
      </c>
      <c r="AD98" s="174" t="s">
        <v>16</v>
      </c>
      <c r="AE98" s="174" t="s">
        <v>16</v>
      </c>
      <c r="AF98" s="174" t="s">
        <v>16</v>
      </c>
      <c r="AG98" s="174" t="s">
        <v>16</v>
      </c>
      <c r="AH98" s="174" t="s">
        <v>16</v>
      </c>
      <c r="AI98" s="56" t="s">
        <v>16</v>
      </c>
      <c r="AJ98" s="73" t="s">
        <v>16</v>
      </c>
      <c r="AK98" s="174" t="s">
        <v>16</v>
      </c>
      <c r="AL98" s="174" t="s">
        <v>16</v>
      </c>
      <c r="AM98" s="174" t="s">
        <v>16</v>
      </c>
      <c r="AN98" s="73" t="s">
        <v>11</v>
      </c>
      <c r="AO98" s="56" t="s">
        <v>16</v>
      </c>
      <c r="AP98" s="239" t="s">
        <v>575</v>
      </c>
      <c r="AQ98" s="56" t="s">
        <v>16</v>
      </c>
      <c r="AR98" s="73" t="s">
        <v>20</v>
      </c>
      <c r="AS98" s="174" t="s">
        <v>16</v>
      </c>
      <c r="AT98" s="174" t="s">
        <v>16</v>
      </c>
      <c r="AU98" s="174" t="s">
        <v>16</v>
      </c>
      <c r="AV98" s="174" t="s">
        <v>16</v>
      </c>
      <c r="AW98" s="174" t="s">
        <v>16</v>
      </c>
      <c r="AX98" s="174" t="s">
        <v>16</v>
      </c>
      <c r="AY98" s="174" t="s">
        <v>16</v>
      </c>
      <c r="AZ98" s="174" t="s">
        <v>16</v>
      </c>
      <c r="BA98" s="174" t="s">
        <v>16</v>
      </c>
      <c r="BB98" s="174" t="s">
        <v>16</v>
      </c>
      <c r="BC98" s="174" t="s">
        <v>16</v>
      </c>
      <c r="BD98" s="70" t="s">
        <v>20</v>
      </c>
      <c r="BE98" s="70"/>
    </row>
    <row r="99" spans="1:57" x14ac:dyDescent="0.25">
      <c r="A99" s="217" t="s">
        <v>77</v>
      </c>
      <c r="B99" s="228" t="s">
        <v>579</v>
      </c>
      <c r="C99" s="174" t="s">
        <v>16</v>
      </c>
      <c r="D99" s="225" t="s">
        <v>16</v>
      </c>
      <c r="E99" s="237" t="s">
        <v>20</v>
      </c>
      <c r="F99" s="237" t="s">
        <v>20</v>
      </c>
      <c r="G99" s="56" t="s">
        <v>20</v>
      </c>
      <c r="H99" s="241" t="s">
        <v>16</v>
      </c>
      <c r="I99" s="237" t="s">
        <v>16</v>
      </c>
      <c r="J99" s="174" t="s">
        <v>16</v>
      </c>
      <c r="K99" s="174" t="s">
        <v>16</v>
      </c>
      <c r="L99" s="174" t="s">
        <v>16</v>
      </c>
      <c r="M99" s="174" t="s">
        <v>16</v>
      </c>
      <c r="N99" s="174" t="s">
        <v>16</v>
      </c>
      <c r="O99" s="174" t="s">
        <v>16</v>
      </c>
      <c r="P99" s="174" t="s">
        <v>16</v>
      </c>
      <c r="Q99" s="174" t="s">
        <v>16</v>
      </c>
      <c r="R99" s="174" t="s">
        <v>16</v>
      </c>
      <c r="S99" s="174" t="s">
        <v>16</v>
      </c>
      <c r="T99" s="174" t="s">
        <v>16</v>
      </c>
      <c r="U99" s="174" t="s">
        <v>16</v>
      </c>
      <c r="V99" s="174" t="s">
        <v>16</v>
      </c>
      <c r="W99" s="174" t="s">
        <v>16</v>
      </c>
      <c r="X99" s="220" t="s">
        <v>20</v>
      </c>
      <c r="Y99" s="73" t="s">
        <v>20</v>
      </c>
      <c r="Z99" s="174" t="s">
        <v>20</v>
      </c>
      <c r="AA99" s="56" t="s">
        <v>16</v>
      </c>
      <c r="AB99" s="73" t="s">
        <v>16</v>
      </c>
      <c r="AC99" s="174" t="s">
        <v>16</v>
      </c>
      <c r="AD99" s="174" t="s">
        <v>16</v>
      </c>
      <c r="AE99" s="174" t="s">
        <v>16</v>
      </c>
      <c r="AF99" s="174" t="s">
        <v>16</v>
      </c>
      <c r="AG99" s="174" t="s">
        <v>16</v>
      </c>
      <c r="AH99" s="174" t="s">
        <v>16</v>
      </c>
      <c r="AI99" s="56" t="s">
        <v>16</v>
      </c>
      <c r="AJ99" s="73" t="s">
        <v>16</v>
      </c>
      <c r="AK99" s="174" t="s">
        <v>16</v>
      </c>
      <c r="AL99" s="174" t="s">
        <v>16</v>
      </c>
      <c r="AM99" s="174" t="s">
        <v>16</v>
      </c>
      <c r="AN99" s="73" t="s">
        <v>20</v>
      </c>
      <c r="AO99" s="56" t="s">
        <v>16</v>
      </c>
      <c r="AP99" s="239" t="s">
        <v>16</v>
      </c>
      <c r="AQ99" s="56" t="s">
        <v>16</v>
      </c>
      <c r="AR99" s="73" t="s">
        <v>20</v>
      </c>
      <c r="AS99" s="174" t="s">
        <v>16</v>
      </c>
      <c r="AT99" s="174" t="s">
        <v>16</v>
      </c>
      <c r="AU99" s="174" t="s">
        <v>16</v>
      </c>
      <c r="AV99" s="174" t="s">
        <v>16</v>
      </c>
      <c r="AW99" s="174" t="s">
        <v>16</v>
      </c>
      <c r="AX99" s="174" t="s">
        <v>16</v>
      </c>
      <c r="AY99" s="174" t="s">
        <v>16</v>
      </c>
      <c r="AZ99" s="174" t="s">
        <v>16</v>
      </c>
      <c r="BA99" s="174" t="s">
        <v>16</v>
      </c>
      <c r="BB99" s="174" t="s">
        <v>16</v>
      </c>
      <c r="BC99" s="174" t="s">
        <v>16</v>
      </c>
      <c r="BD99" s="70" t="s">
        <v>20</v>
      </c>
      <c r="BE99" s="70"/>
    </row>
    <row r="100" spans="1:57" x14ac:dyDescent="0.25">
      <c r="A100" s="217" t="s">
        <v>78</v>
      </c>
      <c r="B100" s="228" t="s">
        <v>579</v>
      </c>
      <c r="C100" s="174" t="s">
        <v>16</v>
      </c>
      <c r="D100" s="225" t="s">
        <v>16</v>
      </c>
      <c r="E100" s="237" t="s">
        <v>582</v>
      </c>
      <c r="F100" s="237" t="s">
        <v>582</v>
      </c>
      <c r="G100" s="56" t="s">
        <v>20</v>
      </c>
      <c r="H100" s="241" t="s">
        <v>580</v>
      </c>
      <c r="I100" s="237" t="s">
        <v>581</v>
      </c>
      <c r="J100" s="174" t="s">
        <v>16</v>
      </c>
      <c r="K100" s="174" t="s">
        <v>16</v>
      </c>
      <c r="L100" s="174" t="s">
        <v>16</v>
      </c>
      <c r="M100" s="174" t="s">
        <v>16</v>
      </c>
      <c r="N100" s="174" t="s">
        <v>16</v>
      </c>
      <c r="O100" s="174" t="s">
        <v>16</v>
      </c>
      <c r="P100" s="174" t="s">
        <v>16</v>
      </c>
      <c r="Q100" s="174" t="s">
        <v>16</v>
      </c>
      <c r="R100" s="174" t="s">
        <v>16</v>
      </c>
      <c r="S100" s="174" t="s">
        <v>16</v>
      </c>
      <c r="T100" s="174" t="s">
        <v>16</v>
      </c>
      <c r="U100" s="174" t="s">
        <v>16</v>
      </c>
      <c r="V100" s="174" t="s">
        <v>16</v>
      </c>
      <c r="W100" s="174" t="s">
        <v>16</v>
      </c>
      <c r="X100" s="220" t="s">
        <v>582</v>
      </c>
      <c r="Y100" s="73" t="s">
        <v>20</v>
      </c>
      <c r="Z100" s="174" t="s">
        <v>20</v>
      </c>
      <c r="AA100" s="56" t="s">
        <v>16</v>
      </c>
      <c r="AB100" s="73" t="s">
        <v>16</v>
      </c>
      <c r="AC100" s="174" t="s">
        <v>16</v>
      </c>
      <c r="AD100" s="174" t="s">
        <v>16</v>
      </c>
      <c r="AE100" s="174" t="s">
        <v>16</v>
      </c>
      <c r="AF100" s="174" t="s">
        <v>16</v>
      </c>
      <c r="AG100" s="174" t="s">
        <v>16</v>
      </c>
      <c r="AH100" s="174" t="s">
        <v>16</v>
      </c>
      <c r="AI100" s="56" t="s">
        <v>16</v>
      </c>
      <c r="AJ100" s="73" t="s">
        <v>16</v>
      </c>
      <c r="AK100" s="174" t="s">
        <v>16</v>
      </c>
      <c r="AL100" s="174" t="s">
        <v>16</v>
      </c>
      <c r="AM100" s="174" t="s">
        <v>16</v>
      </c>
      <c r="AN100" s="73" t="s">
        <v>578</v>
      </c>
      <c r="AO100" s="56" t="s">
        <v>16</v>
      </c>
      <c r="AP100" s="239" t="s">
        <v>584</v>
      </c>
      <c r="AQ100" s="56" t="s">
        <v>16</v>
      </c>
      <c r="AR100" s="73" t="s">
        <v>20</v>
      </c>
      <c r="AS100" s="174" t="s">
        <v>16</v>
      </c>
      <c r="AT100" s="174" t="s">
        <v>16</v>
      </c>
      <c r="AU100" s="174" t="s">
        <v>16</v>
      </c>
      <c r="AV100" s="174" t="s">
        <v>16</v>
      </c>
      <c r="AW100" s="174" t="s">
        <v>16</v>
      </c>
      <c r="AX100" s="174" t="s">
        <v>16</v>
      </c>
      <c r="AY100" s="174" t="s">
        <v>16</v>
      </c>
      <c r="AZ100" s="174" t="s">
        <v>16</v>
      </c>
      <c r="BA100" s="174" t="s">
        <v>16</v>
      </c>
      <c r="BB100" s="174" t="s">
        <v>16</v>
      </c>
      <c r="BC100" s="174" t="s">
        <v>16</v>
      </c>
      <c r="BD100" s="70" t="s">
        <v>20</v>
      </c>
      <c r="BE100" s="70" t="s">
        <v>589</v>
      </c>
    </row>
    <row r="101" spans="1:57" x14ac:dyDescent="0.25">
      <c r="A101" s="217" t="s">
        <v>79</v>
      </c>
      <c r="B101" s="228" t="s">
        <v>579</v>
      </c>
      <c r="C101" s="174" t="s">
        <v>16</v>
      </c>
      <c r="D101" s="225" t="s">
        <v>16</v>
      </c>
      <c r="E101" s="237" t="s">
        <v>587</v>
      </c>
      <c r="F101" s="237" t="s">
        <v>587</v>
      </c>
      <c r="G101" s="56" t="s">
        <v>20</v>
      </c>
      <c r="H101" s="241" t="s">
        <v>585</v>
      </c>
      <c r="I101" s="237" t="s">
        <v>586</v>
      </c>
      <c r="J101" s="174" t="s">
        <v>16</v>
      </c>
      <c r="K101" s="174" t="s">
        <v>16</v>
      </c>
      <c r="L101" s="174" t="s">
        <v>16</v>
      </c>
      <c r="M101" s="174" t="s">
        <v>16</v>
      </c>
      <c r="N101" s="174" t="s">
        <v>16</v>
      </c>
      <c r="O101" s="174" t="s">
        <v>16</v>
      </c>
      <c r="P101" s="174" t="s">
        <v>16</v>
      </c>
      <c r="Q101" s="174" t="s">
        <v>16</v>
      </c>
      <c r="R101" s="174" t="s">
        <v>16</v>
      </c>
      <c r="S101" s="174" t="s">
        <v>16</v>
      </c>
      <c r="T101" s="174" t="s">
        <v>16</v>
      </c>
      <c r="U101" s="174" t="s">
        <v>16</v>
      </c>
      <c r="V101" s="174" t="s">
        <v>16</v>
      </c>
      <c r="W101" s="174" t="s">
        <v>16</v>
      </c>
      <c r="X101" s="220" t="s">
        <v>587</v>
      </c>
      <c r="Y101" s="73" t="s">
        <v>20</v>
      </c>
      <c r="Z101" s="174" t="s">
        <v>20</v>
      </c>
      <c r="AA101" s="56" t="s">
        <v>16</v>
      </c>
      <c r="AB101" s="73" t="s">
        <v>16</v>
      </c>
      <c r="AC101" s="174" t="s">
        <v>16</v>
      </c>
      <c r="AD101" s="174" t="s">
        <v>16</v>
      </c>
      <c r="AE101" s="174" t="s">
        <v>16</v>
      </c>
      <c r="AF101" s="174" t="s">
        <v>16</v>
      </c>
      <c r="AG101" s="174" t="s">
        <v>16</v>
      </c>
      <c r="AH101" s="174" t="s">
        <v>16</v>
      </c>
      <c r="AI101" s="56" t="s">
        <v>16</v>
      </c>
      <c r="AJ101" s="73" t="s">
        <v>16</v>
      </c>
      <c r="AK101" s="174" t="s">
        <v>16</v>
      </c>
      <c r="AL101" s="174" t="s">
        <v>16</v>
      </c>
      <c r="AM101" s="174" t="s">
        <v>16</v>
      </c>
      <c r="AN101" s="73" t="s">
        <v>578</v>
      </c>
      <c r="AO101" s="56" t="s">
        <v>16</v>
      </c>
      <c r="AP101" s="239" t="s">
        <v>16</v>
      </c>
      <c r="AQ101" s="56" t="s">
        <v>16</v>
      </c>
      <c r="AR101" s="73" t="s">
        <v>20</v>
      </c>
      <c r="AS101" s="174" t="s">
        <v>16</v>
      </c>
      <c r="AT101" s="174" t="s">
        <v>16</v>
      </c>
      <c r="AU101" s="174" t="s">
        <v>16</v>
      </c>
      <c r="AV101" s="174" t="s">
        <v>16</v>
      </c>
      <c r="AW101" s="174" t="s">
        <v>16</v>
      </c>
      <c r="AX101" s="174" t="s">
        <v>16</v>
      </c>
      <c r="AY101" s="174" t="s">
        <v>16</v>
      </c>
      <c r="AZ101" s="174" t="s">
        <v>16</v>
      </c>
      <c r="BA101" s="174" t="s">
        <v>16</v>
      </c>
      <c r="BB101" s="174" t="s">
        <v>16</v>
      </c>
      <c r="BC101" s="174" t="s">
        <v>16</v>
      </c>
      <c r="BD101" s="70" t="s">
        <v>20</v>
      </c>
      <c r="BE101" s="70" t="s">
        <v>588</v>
      </c>
    </row>
    <row r="102" spans="1:57" x14ac:dyDescent="0.25">
      <c r="A102" s="217" t="s">
        <v>80</v>
      </c>
      <c r="B102" s="228" t="s">
        <v>616</v>
      </c>
      <c r="C102" s="174"/>
      <c r="D102" s="225" t="s">
        <v>16</v>
      </c>
      <c r="E102" s="237">
        <v>1000</v>
      </c>
      <c r="F102" s="237">
        <v>394</v>
      </c>
      <c r="G102" s="56" t="s">
        <v>20</v>
      </c>
      <c r="H102" s="241">
        <v>40</v>
      </c>
      <c r="I102" s="237">
        <v>141</v>
      </c>
      <c r="J102" s="249">
        <v>22</v>
      </c>
      <c r="K102" s="174" t="s">
        <v>16</v>
      </c>
      <c r="L102" s="249">
        <v>65</v>
      </c>
      <c r="M102" s="249">
        <v>126</v>
      </c>
      <c r="N102" s="174" t="s">
        <v>16</v>
      </c>
      <c r="O102" s="174" t="s">
        <v>16</v>
      </c>
      <c r="P102" s="174" t="s">
        <v>16</v>
      </c>
      <c r="Q102" s="174" t="s">
        <v>16</v>
      </c>
      <c r="R102" s="174" t="s">
        <v>16</v>
      </c>
      <c r="S102" s="174" t="s">
        <v>16</v>
      </c>
      <c r="T102" s="174" t="s">
        <v>16</v>
      </c>
      <c r="U102" s="174" t="s">
        <v>16</v>
      </c>
      <c r="V102" s="174" t="s">
        <v>16</v>
      </c>
      <c r="W102" s="174" t="s">
        <v>16</v>
      </c>
      <c r="X102" s="220">
        <v>394</v>
      </c>
      <c r="Y102" s="58">
        <f>298/Tabela1[[#This Row],[Nº samples  ]]</f>
        <v>0.75634517766497467</v>
      </c>
      <c r="Z102" s="250">
        <f>(394-298)/Tabela1[[#This Row],[Nº samples  ]]</f>
        <v>0.24365482233502539</v>
      </c>
      <c r="AA102" s="56">
        <v>394</v>
      </c>
      <c r="AB102" s="73" t="s">
        <v>16</v>
      </c>
      <c r="AC102" s="174" t="s">
        <v>16</v>
      </c>
      <c r="AD102" s="174" t="s">
        <v>16</v>
      </c>
      <c r="AE102" s="174" t="s">
        <v>16</v>
      </c>
      <c r="AF102" s="174" t="s">
        <v>16</v>
      </c>
      <c r="AG102" s="174" t="s">
        <v>16</v>
      </c>
      <c r="AH102" s="174" t="s">
        <v>16</v>
      </c>
      <c r="AI102" s="56" t="s">
        <v>16</v>
      </c>
      <c r="AJ102" s="73" t="s">
        <v>16</v>
      </c>
      <c r="AK102" s="174" t="s">
        <v>16</v>
      </c>
      <c r="AL102" s="174" t="s">
        <v>16</v>
      </c>
      <c r="AM102" s="174" t="s">
        <v>16</v>
      </c>
      <c r="AN102" s="73" t="s">
        <v>11</v>
      </c>
      <c r="AO102" s="56"/>
      <c r="AP102" s="239" t="s">
        <v>613</v>
      </c>
      <c r="AQ102" s="56" t="s">
        <v>16</v>
      </c>
      <c r="AR102" s="73" t="s">
        <v>182</v>
      </c>
      <c r="AS102" s="174" t="s">
        <v>16</v>
      </c>
      <c r="AT102" s="174" t="s">
        <v>16</v>
      </c>
      <c r="AU102" s="174" t="s">
        <v>16</v>
      </c>
      <c r="AV102" s="174" t="s">
        <v>16</v>
      </c>
      <c r="AW102" s="174" t="s">
        <v>16</v>
      </c>
      <c r="AX102" s="174" t="s">
        <v>16</v>
      </c>
      <c r="AY102" s="174" t="s">
        <v>16</v>
      </c>
      <c r="AZ102" s="174" t="s">
        <v>16</v>
      </c>
      <c r="BA102" s="250">
        <v>0.69399999999999995</v>
      </c>
      <c r="BB102" s="250">
        <v>0.17599999999999999</v>
      </c>
      <c r="BC102" s="173">
        <f>Tabela1[[#This Row],[Total of samples (N)     ]]</f>
        <v>394</v>
      </c>
      <c r="BD102" s="70" t="s">
        <v>20</v>
      </c>
      <c r="BE102" s="70" t="s">
        <v>615</v>
      </c>
    </row>
    <row r="103" spans="1:57" x14ac:dyDescent="0.25">
      <c r="A103" s="217" t="s">
        <v>81</v>
      </c>
      <c r="B103" s="228" t="s">
        <v>579</v>
      </c>
      <c r="C103" s="174" t="s">
        <v>16</v>
      </c>
      <c r="D103" s="225" t="s">
        <v>16</v>
      </c>
      <c r="E103" s="237" t="s">
        <v>592</v>
      </c>
      <c r="F103" s="237" t="s">
        <v>592</v>
      </c>
      <c r="G103" s="56" t="s">
        <v>20</v>
      </c>
      <c r="H103" s="241" t="s">
        <v>590</v>
      </c>
      <c r="I103" s="237" t="s">
        <v>591</v>
      </c>
      <c r="J103" s="174" t="s">
        <v>16</v>
      </c>
      <c r="K103" s="174" t="s">
        <v>16</v>
      </c>
      <c r="L103" s="174" t="s">
        <v>16</v>
      </c>
      <c r="M103" s="174" t="s">
        <v>16</v>
      </c>
      <c r="N103" s="174" t="s">
        <v>16</v>
      </c>
      <c r="O103" s="174" t="s">
        <v>16</v>
      </c>
      <c r="P103" s="174" t="s">
        <v>16</v>
      </c>
      <c r="Q103" s="174" t="s">
        <v>16</v>
      </c>
      <c r="R103" s="174" t="s">
        <v>16</v>
      </c>
      <c r="S103" s="174" t="s">
        <v>16</v>
      </c>
      <c r="T103" s="174" t="s">
        <v>16</v>
      </c>
      <c r="U103" s="174" t="s">
        <v>16</v>
      </c>
      <c r="V103" s="174" t="s">
        <v>16</v>
      </c>
      <c r="W103" s="174" t="s">
        <v>16</v>
      </c>
      <c r="X103" s="220" t="s">
        <v>592</v>
      </c>
      <c r="Y103" s="73" t="s">
        <v>20</v>
      </c>
      <c r="Z103" s="174" t="s">
        <v>20</v>
      </c>
      <c r="AA103" s="56" t="s">
        <v>16</v>
      </c>
      <c r="AB103" s="73" t="s">
        <v>16</v>
      </c>
      <c r="AC103" s="174" t="s">
        <v>16</v>
      </c>
      <c r="AD103" s="174" t="s">
        <v>16</v>
      </c>
      <c r="AE103" s="174" t="s">
        <v>16</v>
      </c>
      <c r="AF103" s="174" t="s">
        <v>16</v>
      </c>
      <c r="AG103" s="174" t="s">
        <v>16</v>
      </c>
      <c r="AH103" s="174" t="s">
        <v>16</v>
      </c>
      <c r="AI103" s="56" t="s">
        <v>16</v>
      </c>
      <c r="AJ103" s="73" t="s">
        <v>16</v>
      </c>
      <c r="AK103" s="174" t="s">
        <v>16</v>
      </c>
      <c r="AL103" s="174" t="s">
        <v>16</v>
      </c>
      <c r="AM103" s="174" t="s">
        <v>16</v>
      </c>
      <c r="AN103" s="73" t="s">
        <v>578</v>
      </c>
      <c r="AO103" s="56" t="s">
        <v>16</v>
      </c>
      <c r="AP103" s="239" t="s">
        <v>584</v>
      </c>
      <c r="AQ103" s="56" t="s">
        <v>16</v>
      </c>
      <c r="AR103" s="73" t="s">
        <v>20</v>
      </c>
      <c r="AS103" s="174" t="s">
        <v>16</v>
      </c>
      <c r="AT103" s="174" t="s">
        <v>16</v>
      </c>
      <c r="AU103" s="174" t="s">
        <v>16</v>
      </c>
      <c r="AV103" s="174" t="s">
        <v>16</v>
      </c>
      <c r="AW103" s="174" t="s">
        <v>16</v>
      </c>
      <c r="AX103" s="174" t="s">
        <v>16</v>
      </c>
      <c r="AY103" s="174" t="s">
        <v>16</v>
      </c>
      <c r="AZ103" s="174" t="s">
        <v>16</v>
      </c>
      <c r="BA103" s="174" t="s">
        <v>16</v>
      </c>
      <c r="BB103" s="174" t="s">
        <v>16</v>
      </c>
      <c r="BC103" s="174" t="s">
        <v>16</v>
      </c>
      <c r="BD103" s="70" t="s">
        <v>20</v>
      </c>
      <c r="BE103" s="70" t="s">
        <v>589</v>
      </c>
    </row>
    <row r="104" spans="1:57" x14ac:dyDescent="0.25">
      <c r="A104" s="217" t="s">
        <v>82</v>
      </c>
      <c r="B104" s="228" t="s">
        <v>57</v>
      </c>
      <c r="C104" s="174"/>
      <c r="D104" s="225" t="s">
        <v>16</v>
      </c>
      <c r="E104" s="174" t="s">
        <v>16</v>
      </c>
      <c r="F104" s="174" t="s">
        <v>16</v>
      </c>
      <c r="G104" s="56" t="s">
        <v>16</v>
      </c>
      <c r="H104" s="73" t="s">
        <v>16</v>
      </c>
      <c r="I104" s="174" t="s">
        <v>16</v>
      </c>
      <c r="J104" s="174" t="s">
        <v>16</v>
      </c>
      <c r="K104" s="174" t="s">
        <v>16</v>
      </c>
      <c r="L104" s="174" t="s">
        <v>16</v>
      </c>
      <c r="M104" s="174" t="s">
        <v>16</v>
      </c>
      <c r="N104" s="174" t="s">
        <v>16</v>
      </c>
      <c r="O104" s="174" t="s">
        <v>16</v>
      </c>
      <c r="P104" s="174" t="s">
        <v>16</v>
      </c>
      <c r="Q104" s="174" t="s">
        <v>16</v>
      </c>
      <c r="R104" s="174" t="s">
        <v>16</v>
      </c>
      <c r="S104" s="174" t="s">
        <v>16</v>
      </c>
      <c r="T104" s="174" t="s">
        <v>16</v>
      </c>
      <c r="U104" s="174" t="s">
        <v>16</v>
      </c>
      <c r="V104" s="174" t="s">
        <v>16</v>
      </c>
      <c r="W104" s="174" t="s">
        <v>16</v>
      </c>
      <c r="X104" s="56" t="s">
        <v>16</v>
      </c>
      <c r="Y104" s="73" t="s">
        <v>16</v>
      </c>
      <c r="Z104" s="174" t="s">
        <v>16</v>
      </c>
      <c r="AA104" s="56" t="s">
        <v>16</v>
      </c>
      <c r="AB104" s="73" t="s">
        <v>16</v>
      </c>
      <c r="AC104" s="174" t="s">
        <v>16</v>
      </c>
      <c r="AD104" s="174" t="s">
        <v>16</v>
      </c>
      <c r="AE104" s="174" t="s">
        <v>16</v>
      </c>
      <c r="AF104" s="174" t="s">
        <v>16</v>
      </c>
      <c r="AG104" s="174" t="s">
        <v>16</v>
      </c>
      <c r="AH104" s="174" t="s">
        <v>16</v>
      </c>
      <c r="AI104" s="56" t="s">
        <v>16</v>
      </c>
      <c r="AJ104" s="73" t="s">
        <v>16</v>
      </c>
      <c r="AK104" s="174" t="s">
        <v>16</v>
      </c>
      <c r="AL104" s="174" t="s">
        <v>16</v>
      </c>
      <c r="AM104" s="174" t="s">
        <v>16</v>
      </c>
      <c r="AN104" s="73" t="s">
        <v>16</v>
      </c>
      <c r="AO104" s="56" t="s">
        <v>16</v>
      </c>
      <c r="AP104" s="174" t="s">
        <v>16</v>
      </c>
      <c r="AQ104" s="56" t="s">
        <v>16</v>
      </c>
      <c r="AR104" s="73" t="s">
        <v>16</v>
      </c>
      <c r="AS104" s="174" t="s">
        <v>16</v>
      </c>
      <c r="AT104" s="174" t="s">
        <v>16</v>
      </c>
      <c r="AU104" s="174" t="s">
        <v>16</v>
      </c>
      <c r="AV104" s="174" t="s">
        <v>16</v>
      </c>
      <c r="AW104" s="174" t="s">
        <v>16</v>
      </c>
      <c r="AX104" s="174" t="s">
        <v>16</v>
      </c>
      <c r="AY104" s="174" t="s">
        <v>16</v>
      </c>
      <c r="AZ104" s="174" t="s">
        <v>16</v>
      </c>
      <c r="BA104" s="174" t="s">
        <v>16</v>
      </c>
      <c r="BB104" s="174" t="s">
        <v>16</v>
      </c>
      <c r="BC104" s="174" t="s">
        <v>16</v>
      </c>
      <c r="BD104" s="70" t="s">
        <v>16</v>
      </c>
      <c r="BE104" s="70"/>
    </row>
    <row r="105" spans="1:57" x14ac:dyDescent="0.25">
      <c r="A105" s="217" t="s">
        <v>83</v>
      </c>
      <c r="B105" s="228" t="s">
        <v>579</v>
      </c>
      <c r="C105" s="174" t="s">
        <v>16</v>
      </c>
      <c r="D105" s="225" t="s">
        <v>16</v>
      </c>
      <c r="E105" s="237" t="s">
        <v>595</v>
      </c>
      <c r="F105" s="237" t="s">
        <v>595</v>
      </c>
      <c r="G105" s="56" t="s">
        <v>20</v>
      </c>
      <c r="H105" s="241" t="s">
        <v>593</v>
      </c>
      <c r="I105" s="237" t="s">
        <v>594</v>
      </c>
      <c r="J105" s="174" t="s">
        <v>16</v>
      </c>
      <c r="K105" s="174" t="s">
        <v>16</v>
      </c>
      <c r="L105" s="174" t="s">
        <v>16</v>
      </c>
      <c r="M105" s="174" t="s">
        <v>16</v>
      </c>
      <c r="N105" s="174" t="s">
        <v>16</v>
      </c>
      <c r="O105" s="174" t="s">
        <v>16</v>
      </c>
      <c r="P105" s="174" t="s">
        <v>16</v>
      </c>
      <c r="Q105" s="174" t="s">
        <v>16</v>
      </c>
      <c r="R105" s="174" t="s">
        <v>16</v>
      </c>
      <c r="S105" s="174" t="s">
        <v>16</v>
      </c>
      <c r="T105" s="174" t="s">
        <v>16</v>
      </c>
      <c r="U105" s="174" t="s">
        <v>16</v>
      </c>
      <c r="V105" s="174" t="s">
        <v>16</v>
      </c>
      <c r="W105" s="174" t="s">
        <v>16</v>
      </c>
      <c r="X105" s="220" t="s">
        <v>595</v>
      </c>
      <c r="Y105" s="73" t="s">
        <v>20</v>
      </c>
      <c r="Z105" s="174" t="s">
        <v>20</v>
      </c>
      <c r="AA105" s="56" t="s">
        <v>16</v>
      </c>
      <c r="AB105" s="73" t="s">
        <v>16</v>
      </c>
      <c r="AC105" s="174" t="s">
        <v>16</v>
      </c>
      <c r="AD105" s="174" t="s">
        <v>16</v>
      </c>
      <c r="AE105" s="174" t="s">
        <v>16</v>
      </c>
      <c r="AF105" s="174" t="s">
        <v>16</v>
      </c>
      <c r="AG105" s="174" t="s">
        <v>16</v>
      </c>
      <c r="AH105" s="174" t="s">
        <v>16</v>
      </c>
      <c r="AI105" s="56" t="s">
        <v>16</v>
      </c>
      <c r="AJ105" s="73" t="s">
        <v>16</v>
      </c>
      <c r="AK105" s="174" t="s">
        <v>16</v>
      </c>
      <c r="AL105" s="174" t="s">
        <v>16</v>
      </c>
      <c r="AM105" s="174" t="s">
        <v>16</v>
      </c>
      <c r="AN105" s="73" t="s">
        <v>578</v>
      </c>
      <c r="AO105" s="56" t="s">
        <v>16</v>
      </c>
      <c r="AP105" s="239" t="s">
        <v>584</v>
      </c>
      <c r="AQ105" s="56" t="s">
        <v>16</v>
      </c>
      <c r="AR105" s="73" t="s">
        <v>20</v>
      </c>
      <c r="AS105" s="174" t="s">
        <v>16</v>
      </c>
      <c r="AT105" s="174" t="s">
        <v>16</v>
      </c>
      <c r="AU105" s="174" t="s">
        <v>16</v>
      </c>
      <c r="AV105" s="174" t="s">
        <v>16</v>
      </c>
      <c r="AW105" s="174" t="s">
        <v>16</v>
      </c>
      <c r="AX105" s="174" t="s">
        <v>16</v>
      </c>
      <c r="AY105" s="174" t="s">
        <v>16</v>
      </c>
      <c r="AZ105" s="174" t="s">
        <v>16</v>
      </c>
      <c r="BA105" s="174" t="s">
        <v>16</v>
      </c>
      <c r="BB105" s="174" t="s">
        <v>16</v>
      </c>
      <c r="BC105" s="174" t="s">
        <v>16</v>
      </c>
      <c r="BD105" s="70" t="s">
        <v>20</v>
      </c>
      <c r="BE105" s="70" t="s">
        <v>589</v>
      </c>
    </row>
    <row r="106" spans="1:57" x14ac:dyDescent="0.25">
      <c r="A106" s="217" t="s">
        <v>84</v>
      </c>
      <c r="B106" s="228" t="s">
        <v>579</v>
      </c>
      <c r="C106" s="174" t="s">
        <v>16</v>
      </c>
      <c r="D106" s="225" t="s">
        <v>16</v>
      </c>
      <c r="E106" s="237" t="s">
        <v>600</v>
      </c>
      <c r="F106" s="237" t="s">
        <v>600</v>
      </c>
      <c r="G106" s="56" t="s">
        <v>20</v>
      </c>
      <c r="H106" s="241" t="s">
        <v>596</v>
      </c>
      <c r="I106" s="237" t="s">
        <v>597</v>
      </c>
      <c r="J106" s="174" t="s">
        <v>16</v>
      </c>
      <c r="K106" s="174" t="s">
        <v>16</v>
      </c>
      <c r="L106" s="174" t="s">
        <v>16</v>
      </c>
      <c r="M106" s="174" t="s">
        <v>16</v>
      </c>
      <c r="N106" s="174" t="s">
        <v>16</v>
      </c>
      <c r="O106" s="174" t="s">
        <v>16</v>
      </c>
      <c r="P106" s="174" t="s">
        <v>16</v>
      </c>
      <c r="Q106" s="174" t="s">
        <v>16</v>
      </c>
      <c r="R106" s="174" t="s">
        <v>16</v>
      </c>
      <c r="S106" s="174" t="s">
        <v>16</v>
      </c>
      <c r="T106" s="174" t="s">
        <v>16</v>
      </c>
      <c r="U106" s="174" t="s">
        <v>16</v>
      </c>
      <c r="V106" s="174" t="s">
        <v>16</v>
      </c>
      <c r="W106" s="174" t="s">
        <v>16</v>
      </c>
      <c r="X106" s="220" t="s">
        <v>600</v>
      </c>
      <c r="Y106" s="73" t="s">
        <v>20</v>
      </c>
      <c r="Z106" s="174" t="s">
        <v>20</v>
      </c>
      <c r="AA106" s="56" t="s">
        <v>16</v>
      </c>
      <c r="AB106" s="73" t="s">
        <v>16</v>
      </c>
      <c r="AC106" s="174" t="s">
        <v>16</v>
      </c>
      <c r="AD106" s="174" t="s">
        <v>16</v>
      </c>
      <c r="AE106" s="174" t="s">
        <v>16</v>
      </c>
      <c r="AF106" s="174" t="s">
        <v>16</v>
      </c>
      <c r="AG106" s="174" t="s">
        <v>16</v>
      </c>
      <c r="AH106" s="174" t="s">
        <v>16</v>
      </c>
      <c r="AI106" s="56" t="s">
        <v>16</v>
      </c>
      <c r="AJ106" s="73" t="s">
        <v>16</v>
      </c>
      <c r="AK106" s="174" t="s">
        <v>16</v>
      </c>
      <c r="AL106" s="174" t="s">
        <v>16</v>
      </c>
      <c r="AM106" s="174" t="s">
        <v>16</v>
      </c>
      <c r="AN106" s="73" t="s">
        <v>578</v>
      </c>
      <c r="AO106" s="56" t="s">
        <v>16</v>
      </c>
      <c r="AP106" s="239" t="s">
        <v>584</v>
      </c>
      <c r="AQ106" s="56" t="s">
        <v>16</v>
      </c>
      <c r="AR106" s="73" t="s">
        <v>20</v>
      </c>
      <c r="AS106" s="174" t="s">
        <v>16</v>
      </c>
      <c r="AT106" s="174" t="s">
        <v>16</v>
      </c>
      <c r="AU106" s="174" t="s">
        <v>16</v>
      </c>
      <c r="AV106" s="174" t="s">
        <v>16</v>
      </c>
      <c r="AW106" s="174" t="s">
        <v>16</v>
      </c>
      <c r="AX106" s="174" t="s">
        <v>16</v>
      </c>
      <c r="AY106" s="174" t="s">
        <v>16</v>
      </c>
      <c r="AZ106" s="174" t="s">
        <v>16</v>
      </c>
      <c r="BA106" s="174" t="s">
        <v>16</v>
      </c>
      <c r="BB106" s="174" t="s">
        <v>16</v>
      </c>
      <c r="BC106" s="174" t="s">
        <v>16</v>
      </c>
      <c r="BD106" s="70" t="s">
        <v>20</v>
      </c>
      <c r="BE106" s="70" t="s">
        <v>598</v>
      </c>
    </row>
    <row r="107" spans="1:57" x14ac:dyDescent="0.25">
      <c r="A107" s="217" t="s">
        <v>85</v>
      </c>
      <c r="B107" s="228" t="s">
        <v>579</v>
      </c>
      <c r="C107" s="174" t="s">
        <v>16</v>
      </c>
      <c r="D107" s="225" t="s">
        <v>16</v>
      </c>
      <c r="E107" s="237" t="s">
        <v>603</v>
      </c>
      <c r="F107" s="237" t="s">
        <v>603</v>
      </c>
      <c r="G107" s="56" t="s">
        <v>20</v>
      </c>
      <c r="H107" s="241" t="s">
        <v>601</v>
      </c>
      <c r="I107" s="237" t="s">
        <v>602</v>
      </c>
      <c r="J107" s="174" t="s">
        <v>16</v>
      </c>
      <c r="K107" s="174" t="s">
        <v>16</v>
      </c>
      <c r="L107" s="174" t="s">
        <v>16</v>
      </c>
      <c r="M107" s="174" t="s">
        <v>16</v>
      </c>
      <c r="N107" s="174" t="s">
        <v>16</v>
      </c>
      <c r="O107" s="174" t="s">
        <v>16</v>
      </c>
      <c r="P107" s="174" t="s">
        <v>16</v>
      </c>
      <c r="Q107" s="174" t="s">
        <v>16</v>
      </c>
      <c r="R107" s="174" t="s">
        <v>16</v>
      </c>
      <c r="S107" s="174" t="s">
        <v>16</v>
      </c>
      <c r="T107" s="174" t="s">
        <v>16</v>
      </c>
      <c r="U107" s="174" t="s">
        <v>16</v>
      </c>
      <c r="V107" s="174" t="s">
        <v>16</v>
      </c>
      <c r="W107" s="174" t="s">
        <v>16</v>
      </c>
      <c r="X107" s="220" t="s">
        <v>603</v>
      </c>
      <c r="Y107" s="73" t="s">
        <v>20</v>
      </c>
      <c r="Z107" s="174" t="s">
        <v>20</v>
      </c>
      <c r="AA107" s="56" t="s">
        <v>16</v>
      </c>
      <c r="AB107" s="73" t="s">
        <v>16</v>
      </c>
      <c r="AC107" s="174" t="s">
        <v>16</v>
      </c>
      <c r="AD107" s="174" t="s">
        <v>16</v>
      </c>
      <c r="AE107" s="174" t="s">
        <v>16</v>
      </c>
      <c r="AF107" s="174" t="s">
        <v>16</v>
      </c>
      <c r="AG107" s="174" t="s">
        <v>16</v>
      </c>
      <c r="AH107" s="174" t="s">
        <v>16</v>
      </c>
      <c r="AI107" s="56" t="s">
        <v>16</v>
      </c>
      <c r="AJ107" s="73" t="s">
        <v>16</v>
      </c>
      <c r="AK107" s="174" t="s">
        <v>16</v>
      </c>
      <c r="AL107" s="174" t="s">
        <v>16</v>
      </c>
      <c r="AM107" s="174" t="s">
        <v>16</v>
      </c>
      <c r="AN107" s="73" t="s">
        <v>578</v>
      </c>
      <c r="AO107" s="56" t="s">
        <v>16</v>
      </c>
      <c r="AP107" s="239" t="s">
        <v>584</v>
      </c>
      <c r="AQ107" s="56" t="s">
        <v>16</v>
      </c>
      <c r="AR107" s="73" t="s">
        <v>20</v>
      </c>
      <c r="AS107" s="174" t="s">
        <v>16</v>
      </c>
      <c r="AT107" s="174" t="s">
        <v>16</v>
      </c>
      <c r="AU107" s="174" t="s">
        <v>16</v>
      </c>
      <c r="AV107" s="174" t="s">
        <v>16</v>
      </c>
      <c r="AW107" s="174" t="s">
        <v>16</v>
      </c>
      <c r="AX107" s="174" t="s">
        <v>16</v>
      </c>
      <c r="AY107" s="174" t="s">
        <v>16</v>
      </c>
      <c r="AZ107" s="174" t="s">
        <v>16</v>
      </c>
      <c r="BA107" s="174" t="s">
        <v>16</v>
      </c>
      <c r="BB107" s="174" t="s">
        <v>16</v>
      </c>
      <c r="BC107" s="174" t="s">
        <v>16</v>
      </c>
      <c r="BD107" s="70" t="s">
        <v>20</v>
      </c>
      <c r="BE107" s="70" t="s">
        <v>589</v>
      </c>
    </row>
    <row r="108" spans="1:57" x14ac:dyDescent="0.25">
      <c r="A108" s="217" t="s">
        <v>86</v>
      </c>
      <c r="B108" s="228" t="s">
        <v>579</v>
      </c>
      <c r="C108" s="174" t="s">
        <v>16</v>
      </c>
      <c r="D108" s="225" t="s">
        <v>16</v>
      </c>
      <c r="E108" s="237" t="s">
        <v>606</v>
      </c>
      <c r="F108" s="237" t="s">
        <v>606</v>
      </c>
      <c r="G108" s="56" t="s">
        <v>20</v>
      </c>
      <c r="H108" s="241" t="s">
        <v>604</v>
      </c>
      <c r="I108" s="237" t="s">
        <v>605</v>
      </c>
      <c r="J108" s="174" t="s">
        <v>16</v>
      </c>
      <c r="K108" s="174" t="s">
        <v>16</v>
      </c>
      <c r="L108" s="174" t="s">
        <v>16</v>
      </c>
      <c r="M108" s="174" t="s">
        <v>16</v>
      </c>
      <c r="N108" s="174" t="s">
        <v>16</v>
      </c>
      <c r="O108" s="174" t="s">
        <v>16</v>
      </c>
      <c r="P108" s="174" t="s">
        <v>16</v>
      </c>
      <c r="Q108" s="174" t="s">
        <v>16</v>
      </c>
      <c r="R108" s="174" t="s">
        <v>16</v>
      </c>
      <c r="S108" s="174" t="s">
        <v>16</v>
      </c>
      <c r="T108" s="174" t="s">
        <v>16</v>
      </c>
      <c r="U108" s="174" t="s">
        <v>16</v>
      </c>
      <c r="V108" s="174" t="s">
        <v>16</v>
      </c>
      <c r="W108" s="174" t="s">
        <v>16</v>
      </c>
      <c r="X108" s="220" t="s">
        <v>606</v>
      </c>
      <c r="Y108" s="73" t="s">
        <v>20</v>
      </c>
      <c r="Z108" s="174" t="s">
        <v>20</v>
      </c>
      <c r="AA108" s="56" t="s">
        <v>16</v>
      </c>
      <c r="AB108" s="73" t="s">
        <v>16</v>
      </c>
      <c r="AC108" s="174" t="s">
        <v>16</v>
      </c>
      <c r="AD108" s="174" t="s">
        <v>16</v>
      </c>
      <c r="AE108" s="174" t="s">
        <v>16</v>
      </c>
      <c r="AF108" s="174" t="s">
        <v>16</v>
      </c>
      <c r="AG108" s="174" t="s">
        <v>16</v>
      </c>
      <c r="AH108" s="174" t="s">
        <v>16</v>
      </c>
      <c r="AI108" s="56" t="s">
        <v>16</v>
      </c>
      <c r="AJ108" s="73" t="s">
        <v>16</v>
      </c>
      <c r="AK108" s="174" t="s">
        <v>16</v>
      </c>
      <c r="AL108" s="174" t="s">
        <v>16</v>
      </c>
      <c r="AM108" s="174" t="s">
        <v>16</v>
      </c>
      <c r="AN108" s="73" t="s">
        <v>578</v>
      </c>
      <c r="AO108" s="56" t="s">
        <v>16</v>
      </c>
      <c r="AP108" s="239" t="s">
        <v>584</v>
      </c>
      <c r="AQ108" s="56" t="s">
        <v>16</v>
      </c>
      <c r="AR108" s="73" t="s">
        <v>20</v>
      </c>
      <c r="AS108" s="174" t="s">
        <v>16</v>
      </c>
      <c r="AT108" s="174" t="s">
        <v>16</v>
      </c>
      <c r="AU108" s="174" t="s">
        <v>16</v>
      </c>
      <c r="AV108" s="174" t="s">
        <v>16</v>
      </c>
      <c r="AW108" s="174" t="s">
        <v>16</v>
      </c>
      <c r="AX108" s="174" t="s">
        <v>16</v>
      </c>
      <c r="AY108" s="174" t="s">
        <v>16</v>
      </c>
      <c r="AZ108" s="174" t="s">
        <v>16</v>
      </c>
      <c r="BA108" s="174" t="s">
        <v>16</v>
      </c>
      <c r="BB108" s="174" t="s">
        <v>16</v>
      </c>
      <c r="BC108" s="174" t="s">
        <v>16</v>
      </c>
      <c r="BD108" s="70" t="s">
        <v>20</v>
      </c>
      <c r="BE108" s="70" t="s">
        <v>589</v>
      </c>
    </row>
    <row r="109" spans="1:57" x14ac:dyDescent="0.25">
      <c r="A109" s="217" t="s">
        <v>87</v>
      </c>
      <c r="B109" s="228" t="s">
        <v>57</v>
      </c>
      <c r="C109" s="174"/>
      <c r="D109" s="225" t="s">
        <v>16</v>
      </c>
      <c r="E109" s="237">
        <v>1037</v>
      </c>
      <c r="F109" s="237">
        <v>943</v>
      </c>
      <c r="G109" s="56" t="s">
        <v>20</v>
      </c>
      <c r="H109" s="241" t="s">
        <v>16</v>
      </c>
      <c r="I109" s="237" t="s">
        <v>16</v>
      </c>
      <c r="J109" s="237" t="s">
        <v>16</v>
      </c>
      <c r="K109" s="237" t="s">
        <v>16</v>
      </c>
      <c r="L109" s="237" t="s">
        <v>16</v>
      </c>
      <c r="M109" s="237" t="s">
        <v>16</v>
      </c>
      <c r="N109" s="237" t="s">
        <v>16</v>
      </c>
      <c r="O109" s="237" t="s">
        <v>16</v>
      </c>
      <c r="P109" s="237" t="s">
        <v>16</v>
      </c>
      <c r="Q109" s="237" t="s">
        <v>16</v>
      </c>
      <c r="R109" s="237" t="s">
        <v>16</v>
      </c>
      <c r="S109" s="237" t="s">
        <v>16</v>
      </c>
      <c r="T109" s="237" t="s">
        <v>16</v>
      </c>
      <c r="U109" s="237" t="s">
        <v>16</v>
      </c>
      <c r="V109" s="237" t="s">
        <v>16</v>
      </c>
      <c r="W109" s="237" t="s">
        <v>16</v>
      </c>
      <c r="X109" s="220" t="s">
        <v>16</v>
      </c>
      <c r="Y109" s="58">
        <v>0.55200000000000005</v>
      </c>
      <c r="Z109" s="250">
        <v>0.44800000000000001</v>
      </c>
      <c r="AA109" s="56">
        <v>1037</v>
      </c>
      <c r="AB109" s="73" t="s">
        <v>16</v>
      </c>
      <c r="AC109" s="174" t="s">
        <v>16</v>
      </c>
      <c r="AD109" s="174" t="s">
        <v>16</v>
      </c>
      <c r="AE109" s="174" t="s">
        <v>16</v>
      </c>
      <c r="AF109" s="174" t="s">
        <v>16</v>
      </c>
      <c r="AG109" s="174" t="s">
        <v>16</v>
      </c>
      <c r="AH109" s="174" t="s">
        <v>16</v>
      </c>
      <c r="AI109" s="56" t="s">
        <v>16</v>
      </c>
      <c r="AJ109" s="73" t="s">
        <v>16</v>
      </c>
      <c r="AK109" s="174" t="s">
        <v>16</v>
      </c>
      <c r="AL109" s="174" t="s">
        <v>16</v>
      </c>
      <c r="AM109" s="174" t="s">
        <v>16</v>
      </c>
      <c r="AN109" s="73" t="s">
        <v>11</v>
      </c>
      <c r="AO109" s="56" t="s">
        <v>16</v>
      </c>
      <c r="AP109" s="239" t="s">
        <v>617</v>
      </c>
      <c r="AQ109" s="56" t="s">
        <v>16</v>
      </c>
      <c r="AR109" s="73" t="s">
        <v>20</v>
      </c>
      <c r="AS109" s="250">
        <v>4.0000000000000001E-3</v>
      </c>
      <c r="AT109" s="250">
        <v>0.13500000000000001</v>
      </c>
      <c r="AU109" s="250">
        <v>1.4999999999999999E-2</v>
      </c>
      <c r="AV109" s="250">
        <v>0.63500000000000001</v>
      </c>
      <c r="AW109" s="250">
        <v>0.19600000000000001</v>
      </c>
      <c r="AX109" s="250">
        <v>1.6E-2</v>
      </c>
      <c r="AY109" s="250" t="s">
        <v>16</v>
      </c>
      <c r="AZ109" s="174">
        <v>944</v>
      </c>
      <c r="BA109" s="174" t="s">
        <v>16</v>
      </c>
      <c r="BB109" s="174" t="s">
        <v>16</v>
      </c>
      <c r="BC109" s="174" t="s">
        <v>16</v>
      </c>
      <c r="BD109" s="70" t="s">
        <v>20</v>
      </c>
      <c r="BE109" s="70"/>
    </row>
    <row r="110" spans="1:57" x14ac:dyDescent="0.25">
      <c r="A110" s="217" t="s">
        <v>88</v>
      </c>
      <c r="B110" s="228" t="s">
        <v>579</v>
      </c>
      <c r="C110" s="174" t="s">
        <v>16</v>
      </c>
      <c r="D110" s="230" t="s">
        <v>16</v>
      </c>
      <c r="E110" s="237" t="s">
        <v>609</v>
      </c>
      <c r="F110" s="237" t="s">
        <v>609</v>
      </c>
      <c r="G110" s="56" t="s">
        <v>20</v>
      </c>
      <c r="H110" s="241" t="s">
        <v>607</v>
      </c>
      <c r="I110" s="237" t="s">
        <v>608</v>
      </c>
      <c r="J110" s="174" t="s">
        <v>16</v>
      </c>
      <c r="K110" s="174" t="s">
        <v>16</v>
      </c>
      <c r="L110" s="174" t="s">
        <v>16</v>
      </c>
      <c r="M110" s="174" t="s">
        <v>16</v>
      </c>
      <c r="N110" s="174" t="s">
        <v>16</v>
      </c>
      <c r="O110" s="174" t="s">
        <v>16</v>
      </c>
      <c r="P110" s="174" t="s">
        <v>16</v>
      </c>
      <c r="Q110" s="174" t="s">
        <v>16</v>
      </c>
      <c r="R110" s="174" t="s">
        <v>16</v>
      </c>
      <c r="S110" s="174" t="s">
        <v>16</v>
      </c>
      <c r="T110" s="174" t="s">
        <v>16</v>
      </c>
      <c r="U110" s="174" t="s">
        <v>16</v>
      </c>
      <c r="V110" s="174" t="s">
        <v>16</v>
      </c>
      <c r="W110" s="174" t="s">
        <v>16</v>
      </c>
      <c r="X110" s="220" t="s">
        <v>609</v>
      </c>
      <c r="Y110" s="73" t="s">
        <v>20</v>
      </c>
      <c r="Z110" s="174" t="s">
        <v>20</v>
      </c>
      <c r="AA110" s="56" t="s">
        <v>16</v>
      </c>
      <c r="AB110" s="73" t="s">
        <v>16</v>
      </c>
      <c r="AC110" s="174" t="s">
        <v>16</v>
      </c>
      <c r="AD110" s="174" t="s">
        <v>16</v>
      </c>
      <c r="AE110" s="174" t="s">
        <v>16</v>
      </c>
      <c r="AF110" s="174" t="s">
        <v>16</v>
      </c>
      <c r="AG110" s="174" t="s">
        <v>16</v>
      </c>
      <c r="AH110" s="174" t="s">
        <v>16</v>
      </c>
      <c r="AI110" s="56" t="s">
        <v>16</v>
      </c>
      <c r="AJ110" s="73" t="s">
        <v>16</v>
      </c>
      <c r="AK110" s="174" t="s">
        <v>16</v>
      </c>
      <c r="AL110" s="174" t="s">
        <v>16</v>
      </c>
      <c r="AM110" s="174" t="s">
        <v>16</v>
      </c>
      <c r="AN110" s="73" t="s">
        <v>578</v>
      </c>
      <c r="AO110" s="56" t="s">
        <v>16</v>
      </c>
      <c r="AP110" s="239" t="s">
        <v>584</v>
      </c>
      <c r="AQ110" s="56" t="s">
        <v>16</v>
      </c>
      <c r="AR110" s="73" t="s">
        <v>20</v>
      </c>
      <c r="AS110" s="174" t="s">
        <v>16</v>
      </c>
      <c r="AT110" s="174" t="s">
        <v>16</v>
      </c>
      <c r="AU110" s="174" t="s">
        <v>16</v>
      </c>
      <c r="AV110" s="174" t="s">
        <v>16</v>
      </c>
      <c r="AW110" s="174" t="s">
        <v>16</v>
      </c>
      <c r="AX110" s="174" t="s">
        <v>16</v>
      </c>
      <c r="AY110" s="174" t="s">
        <v>16</v>
      </c>
      <c r="AZ110" s="174" t="s">
        <v>16</v>
      </c>
      <c r="BA110" s="174" t="s">
        <v>16</v>
      </c>
      <c r="BB110" s="174" t="s">
        <v>16</v>
      </c>
      <c r="BC110" s="174" t="s">
        <v>16</v>
      </c>
      <c r="BD110" s="70" t="s">
        <v>20</v>
      </c>
      <c r="BE110" s="70" t="s">
        <v>599</v>
      </c>
    </row>
    <row r="111" spans="1:57" x14ac:dyDescent="0.25">
      <c r="A111" s="217" t="s">
        <v>89</v>
      </c>
      <c r="B111" s="218" t="s">
        <v>90</v>
      </c>
      <c r="C111" s="174"/>
      <c r="D111" s="225" t="s">
        <v>182</v>
      </c>
      <c r="E111" s="237"/>
      <c r="F111" s="237"/>
      <c r="G111" s="56"/>
      <c r="H111" s="241"/>
      <c r="I111" s="237"/>
      <c r="J111" s="174"/>
      <c r="K111" s="174"/>
      <c r="L111" s="174"/>
      <c r="M111" s="174" t="s">
        <v>16</v>
      </c>
      <c r="N111" s="174"/>
      <c r="O111" s="174"/>
      <c r="P111" s="174"/>
      <c r="Q111" s="174"/>
      <c r="R111" s="174"/>
      <c r="S111" s="174"/>
      <c r="T111" s="174"/>
      <c r="U111" s="174"/>
      <c r="V111" s="174"/>
      <c r="W111" s="174"/>
      <c r="X111" s="55"/>
      <c r="Y111" s="73"/>
      <c r="Z111" s="238"/>
      <c r="AA111" s="56"/>
      <c r="AB111" s="73"/>
      <c r="AC111" s="174"/>
      <c r="AD111" s="174"/>
      <c r="AE111" s="174"/>
      <c r="AF111" s="174"/>
      <c r="AG111" s="174"/>
      <c r="AH111" s="174"/>
      <c r="AI111" s="56"/>
      <c r="AJ111" s="73"/>
      <c r="AK111" s="174"/>
      <c r="AL111" s="174"/>
      <c r="AM111" s="174"/>
      <c r="AN111" s="73"/>
      <c r="AO111" s="56"/>
      <c r="AP111" s="239"/>
      <c r="AQ111" s="56"/>
      <c r="AR111" s="73"/>
      <c r="AS111" s="174"/>
      <c r="AT111" s="174"/>
      <c r="AU111" s="174"/>
      <c r="AV111" s="174"/>
      <c r="AW111" s="174"/>
      <c r="AX111" s="174"/>
      <c r="AY111" s="174"/>
      <c r="AZ111" s="174"/>
      <c r="BA111" s="174"/>
      <c r="BB111" s="174"/>
      <c r="BC111" s="174"/>
      <c r="BD111" s="70"/>
      <c r="BE111" s="70"/>
    </row>
    <row r="112" spans="1:57" x14ac:dyDescent="0.25">
      <c r="A112" s="217" t="s">
        <v>158</v>
      </c>
      <c r="B112" s="218" t="s">
        <v>54</v>
      </c>
      <c r="C112" s="174"/>
      <c r="D112" s="225" t="s">
        <v>182</v>
      </c>
      <c r="E112" s="227"/>
      <c r="F112" s="237"/>
      <c r="G112" s="56"/>
      <c r="H112" s="241"/>
      <c r="I112" s="237"/>
      <c r="J112" s="174"/>
      <c r="K112" s="174"/>
      <c r="L112" s="174"/>
      <c r="M112" s="174" t="s">
        <v>16</v>
      </c>
      <c r="N112" s="174"/>
      <c r="O112" s="174"/>
      <c r="P112" s="174"/>
      <c r="Q112" s="174"/>
      <c r="R112" s="174"/>
      <c r="S112" s="174"/>
      <c r="T112" s="174"/>
      <c r="U112" s="174"/>
      <c r="V112" s="174"/>
      <c r="W112" s="174"/>
      <c r="X112" s="55"/>
      <c r="Y112" s="73"/>
      <c r="Z112" s="238"/>
      <c r="AA112" s="56"/>
      <c r="AB112" s="73"/>
      <c r="AC112" s="174"/>
      <c r="AD112" s="174"/>
      <c r="AE112" s="174"/>
      <c r="AF112" s="174"/>
      <c r="AG112" s="174"/>
      <c r="AH112" s="174"/>
      <c r="AI112" s="56"/>
      <c r="AJ112" s="73"/>
      <c r="AK112" s="174"/>
      <c r="AL112" s="174"/>
      <c r="AM112" s="174"/>
      <c r="AN112" s="73"/>
      <c r="AO112" s="56"/>
      <c r="AP112" s="239"/>
      <c r="AQ112" s="56"/>
      <c r="AR112" s="73"/>
      <c r="AS112" s="174"/>
      <c r="AT112" s="174"/>
      <c r="AU112" s="174"/>
      <c r="AV112" s="174"/>
      <c r="AW112" s="174"/>
      <c r="AX112" s="174"/>
      <c r="AY112" s="174"/>
      <c r="AZ112" s="174"/>
      <c r="BA112" s="174"/>
      <c r="BB112" s="174"/>
      <c r="BC112" s="174"/>
      <c r="BD112" s="70"/>
      <c r="BE112" s="70"/>
    </row>
    <row r="113" spans="1:57" x14ac:dyDescent="0.25">
      <c r="A113" s="217" t="s">
        <v>91</v>
      </c>
      <c r="B113" s="221" t="s">
        <v>20</v>
      </c>
      <c r="C113" s="229"/>
      <c r="D113" s="230" t="s">
        <v>16</v>
      </c>
      <c r="E113" s="229" t="s">
        <v>16</v>
      </c>
      <c r="F113" s="229" t="s">
        <v>16</v>
      </c>
      <c r="G113" s="230" t="s">
        <v>16</v>
      </c>
      <c r="H113" s="240" t="s">
        <v>16</v>
      </c>
      <c r="I113" s="219" t="s">
        <v>16</v>
      </c>
      <c r="J113" s="219" t="s">
        <v>16</v>
      </c>
      <c r="K113" s="219" t="s">
        <v>16</v>
      </c>
      <c r="L113" s="219" t="s">
        <v>16</v>
      </c>
      <c r="M113" s="219" t="s">
        <v>16</v>
      </c>
      <c r="N113" s="219" t="s">
        <v>16</v>
      </c>
      <c r="O113" s="219" t="s">
        <v>16</v>
      </c>
      <c r="P113" s="219" t="s">
        <v>16</v>
      </c>
      <c r="Q113" s="219" t="s">
        <v>16</v>
      </c>
      <c r="R113" s="219" t="s">
        <v>16</v>
      </c>
      <c r="S113" s="219" t="s">
        <v>16</v>
      </c>
      <c r="T113" s="219" t="s">
        <v>16</v>
      </c>
      <c r="U113" s="219" t="s">
        <v>16</v>
      </c>
      <c r="V113" s="219" t="s">
        <v>16</v>
      </c>
      <c r="W113" s="219" t="s">
        <v>16</v>
      </c>
      <c r="X113" s="225" t="s">
        <v>16</v>
      </c>
      <c r="Y113" s="240" t="s">
        <v>16</v>
      </c>
      <c r="Z113" s="219" t="s">
        <v>16</v>
      </c>
      <c r="AA113" s="225" t="s">
        <v>16</v>
      </c>
      <c r="AB113" s="240" t="s">
        <v>16</v>
      </c>
      <c r="AC113" s="219" t="s">
        <v>16</v>
      </c>
      <c r="AD113" s="219" t="s">
        <v>16</v>
      </c>
      <c r="AE113" s="219" t="s">
        <v>16</v>
      </c>
      <c r="AF113" s="219" t="s">
        <v>16</v>
      </c>
      <c r="AG113" s="219" t="s">
        <v>16</v>
      </c>
      <c r="AH113" s="219" t="s">
        <v>16</v>
      </c>
      <c r="AI113" s="225" t="s">
        <v>16</v>
      </c>
      <c r="AJ113" s="240" t="s">
        <v>16</v>
      </c>
      <c r="AK113" s="219" t="s">
        <v>16</v>
      </c>
      <c r="AL113" s="219" t="s">
        <v>16</v>
      </c>
      <c r="AM113" s="219" t="s">
        <v>16</v>
      </c>
      <c r="AN113" s="245" t="s">
        <v>16</v>
      </c>
      <c r="AO113" s="230" t="s">
        <v>16</v>
      </c>
      <c r="AP113" s="219" t="s">
        <v>16</v>
      </c>
      <c r="AQ113" s="225" t="s">
        <v>16</v>
      </c>
      <c r="AR113" s="240" t="s">
        <v>16</v>
      </c>
      <c r="AS113" s="219" t="s">
        <v>16</v>
      </c>
      <c r="AT113" s="219" t="s">
        <v>16</v>
      </c>
      <c r="AU113" s="219" t="s">
        <v>16</v>
      </c>
      <c r="AV113" s="219" t="s">
        <v>16</v>
      </c>
      <c r="AW113" s="219" t="s">
        <v>16</v>
      </c>
      <c r="AX113" s="219" t="s">
        <v>16</v>
      </c>
      <c r="AY113" s="219" t="s">
        <v>16</v>
      </c>
      <c r="AZ113" s="219" t="s">
        <v>16</v>
      </c>
      <c r="BA113" s="219" t="s">
        <v>16</v>
      </c>
      <c r="BB113" s="219" t="s">
        <v>16</v>
      </c>
      <c r="BC113" s="219" t="s">
        <v>16</v>
      </c>
      <c r="BD113" s="274" t="s">
        <v>16</v>
      </c>
      <c r="BE113" s="70"/>
    </row>
    <row r="114" spans="1:57" x14ac:dyDescent="0.25">
      <c r="A114" s="217" t="s">
        <v>92</v>
      </c>
      <c r="B114" s="218" t="s">
        <v>621</v>
      </c>
      <c r="C114" s="174"/>
      <c r="D114" s="230" t="s">
        <v>16</v>
      </c>
      <c r="E114" s="237" t="s">
        <v>624</v>
      </c>
      <c r="F114" s="237" t="s">
        <v>623</v>
      </c>
      <c r="G114" s="56" t="s">
        <v>20</v>
      </c>
      <c r="H114" s="244" t="s">
        <v>16</v>
      </c>
      <c r="I114" s="227" t="s">
        <v>16</v>
      </c>
      <c r="J114" s="227" t="s">
        <v>16</v>
      </c>
      <c r="K114" s="227" t="s">
        <v>16</v>
      </c>
      <c r="L114" s="227" t="s">
        <v>16</v>
      </c>
      <c r="M114" s="227" t="s">
        <v>16</v>
      </c>
      <c r="N114" s="227" t="s">
        <v>16</v>
      </c>
      <c r="O114" s="227" t="s">
        <v>16</v>
      </c>
      <c r="P114" s="227" t="s">
        <v>16</v>
      </c>
      <c r="Q114" s="227" t="s">
        <v>16</v>
      </c>
      <c r="R114" s="227" t="s">
        <v>16</v>
      </c>
      <c r="S114" s="227" t="s">
        <v>16</v>
      </c>
      <c r="T114" s="227" t="s">
        <v>16</v>
      </c>
      <c r="U114" s="227" t="s">
        <v>16</v>
      </c>
      <c r="V114" s="227" t="s">
        <v>16</v>
      </c>
      <c r="W114" s="227" t="s">
        <v>16</v>
      </c>
      <c r="X114" s="247" t="s">
        <v>16</v>
      </c>
      <c r="Y114" s="264">
        <v>0.52</v>
      </c>
      <c r="Z114" s="265">
        <v>0.48</v>
      </c>
      <c r="AA114" s="220">
        <v>123219</v>
      </c>
      <c r="AB114" s="244" t="s">
        <v>16</v>
      </c>
      <c r="AC114" s="227" t="s">
        <v>16</v>
      </c>
      <c r="AD114" s="227" t="s">
        <v>16</v>
      </c>
      <c r="AE114" s="227" t="s">
        <v>16</v>
      </c>
      <c r="AF114" s="227" t="s">
        <v>16</v>
      </c>
      <c r="AG114" s="227" t="s">
        <v>16</v>
      </c>
      <c r="AH114" s="227" t="s">
        <v>16</v>
      </c>
      <c r="AI114" s="247" t="s">
        <v>16</v>
      </c>
      <c r="AJ114" s="244" t="s">
        <v>16</v>
      </c>
      <c r="AK114" s="227" t="s">
        <v>16</v>
      </c>
      <c r="AL114" s="227" t="s">
        <v>16</v>
      </c>
      <c r="AM114" s="227" t="s">
        <v>16</v>
      </c>
      <c r="AN114" s="73" t="s">
        <v>618</v>
      </c>
      <c r="AO114" s="223" t="s">
        <v>620</v>
      </c>
      <c r="AP114" s="271" t="s">
        <v>625</v>
      </c>
      <c r="AQ114" s="56" t="s">
        <v>16</v>
      </c>
      <c r="AR114" s="73" t="s">
        <v>20</v>
      </c>
      <c r="AS114" s="174" t="s">
        <v>16</v>
      </c>
      <c r="AT114" s="174" t="s">
        <v>16</v>
      </c>
      <c r="AU114" s="174" t="s">
        <v>16</v>
      </c>
      <c r="AV114" s="174" t="s">
        <v>16</v>
      </c>
      <c r="AW114" s="174" t="s">
        <v>16</v>
      </c>
      <c r="AX114" s="174" t="s">
        <v>16</v>
      </c>
      <c r="AY114" s="174" t="s">
        <v>16</v>
      </c>
      <c r="AZ114" s="174" t="s">
        <v>16</v>
      </c>
      <c r="BA114" s="174" t="s">
        <v>16</v>
      </c>
      <c r="BB114" s="174" t="s">
        <v>16</v>
      </c>
      <c r="BC114" s="174" t="s">
        <v>16</v>
      </c>
      <c r="BD114" s="70" t="s">
        <v>40</v>
      </c>
      <c r="BE114" s="70"/>
    </row>
    <row r="115" spans="1:57" x14ac:dyDescent="0.25">
      <c r="A115" s="217" t="s">
        <v>93</v>
      </c>
      <c r="B115" s="218" t="s">
        <v>94</v>
      </c>
      <c r="C115" s="227"/>
      <c r="D115" s="230" t="s">
        <v>16</v>
      </c>
      <c r="E115" s="227" t="s">
        <v>16</v>
      </c>
      <c r="F115" s="227" t="s">
        <v>16</v>
      </c>
      <c r="G115" s="56" t="s">
        <v>16</v>
      </c>
      <c r="H115" s="73" t="s">
        <v>16</v>
      </c>
      <c r="I115" s="174" t="s">
        <v>16</v>
      </c>
      <c r="J115" s="174" t="s">
        <v>16</v>
      </c>
      <c r="K115" s="219" t="s">
        <v>16</v>
      </c>
      <c r="L115" s="243" t="s">
        <v>16</v>
      </c>
      <c r="M115" s="174" t="s">
        <v>16</v>
      </c>
      <c r="N115" s="243" t="s">
        <v>16</v>
      </c>
      <c r="O115" s="243" t="s">
        <v>16</v>
      </c>
      <c r="P115" s="174" t="s">
        <v>16</v>
      </c>
      <c r="Q115" s="174" t="s">
        <v>16</v>
      </c>
      <c r="R115" s="174" t="s">
        <v>16</v>
      </c>
      <c r="S115" s="174" t="s">
        <v>16</v>
      </c>
      <c r="T115" s="219" t="s">
        <v>16</v>
      </c>
      <c r="U115" s="174" t="s">
        <v>16</v>
      </c>
      <c r="V115" s="174" t="s">
        <v>16</v>
      </c>
      <c r="W115" s="219" t="s">
        <v>16</v>
      </c>
      <c r="X115" s="256" t="s">
        <v>16</v>
      </c>
      <c r="Y115" s="242" t="s">
        <v>16</v>
      </c>
      <c r="Z115" s="174" t="s">
        <v>16</v>
      </c>
      <c r="AA115" s="56" t="s">
        <v>16</v>
      </c>
      <c r="AB115" s="73" t="s">
        <v>16</v>
      </c>
      <c r="AC115" s="174" t="s">
        <v>16</v>
      </c>
      <c r="AD115" s="219" t="s">
        <v>16</v>
      </c>
      <c r="AE115" s="243" t="s">
        <v>16</v>
      </c>
      <c r="AF115" s="174" t="s">
        <v>16</v>
      </c>
      <c r="AG115" s="243" t="s">
        <v>16</v>
      </c>
      <c r="AH115" s="243" t="s">
        <v>16</v>
      </c>
      <c r="AI115" s="56" t="s">
        <v>16</v>
      </c>
      <c r="AJ115" s="73" t="s">
        <v>16</v>
      </c>
      <c r="AK115" s="174" t="s">
        <v>16</v>
      </c>
      <c r="AL115" s="174" t="s">
        <v>16</v>
      </c>
      <c r="AM115" s="219" t="s">
        <v>16</v>
      </c>
      <c r="AN115" s="244" t="s">
        <v>16</v>
      </c>
      <c r="AO115" s="56" t="s">
        <v>16</v>
      </c>
      <c r="AP115" s="243" t="s">
        <v>16</v>
      </c>
      <c r="AQ115" s="56" t="s">
        <v>16</v>
      </c>
      <c r="AR115" s="242" t="s">
        <v>16</v>
      </c>
      <c r="AS115" s="174" t="s">
        <v>16</v>
      </c>
      <c r="AT115" s="174" t="s">
        <v>16</v>
      </c>
      <c r="AU115" s="174" t="s">
        <v>16</v>
      </c>
      <c r="AV115" s="174" t="s">
        <v>16</v>
      </c>
      <c r="AW115" s="219" t="s">
        <v>16</v>
      </c>
      <c r="AX115" s="243" t="s">
        <v>16</v>
      </c>
      <c r="AY115" s="174" t="s">
        <v>16</v>
      </c>
      <c r="AZ115" s="243" t="s">
        <v>16</v>
      </c>
      <c r="BA115" s="243" t="s">
        <v>16</v>
      </c>
      <c r="BB115" s="174" t="s">
        <v>16</v>
      </c>
      <c r="BC115" s="174" t="s">
        <v>16</v>
      </c>
      <c r="BD115" s="70" t="s">
        <v>16</v>
      </c>
      <c r="BE115" s="275" t="s">
        <v>548</v>
      </c>
    </row>
    <row r="116" spans="1:57" x14ac:dyDescent="0.25">
      <c r="A116" s="217" t="s">
        <v>95</v>
      </c>
      <c r="B116" s="218" t="s">
        <v>626</v>
      </c>
      <c r="C116" s="229"/>
      <c r="D116" s="230" t="s">
        <v>16</v>
      </c>
      <c r="E116" s="237">
        <v>18000</v>
      </c>
      <c r="F116" s="227">
        <v>525</v>
      </c>
      <c r="G116" s="56" t="s">
        <v>20</v>
      </c>
      <c r="H116" s="73" t="s">
        <v>16</v>
      </c>
      <c r="I116" s="174" t="s">
        <v>16</v>
      </c>
      <c r="J116" s="174" t="s">
        <v>16</v>
      </c>
      <c r="K116" s="174" t="s">
        <v>16</v>
      </c>
      <c r="L116" s="174" t="s">
        <v>16</v>
      </c>
      <c r="M116" s="174" t="s">
        <v>16</v>
      </c>
      <c r="N116" s="174" t="s">
        <v>16</v>
      </c>
      <c r="O116" s="174" t="s">
        <v>16</v>
      </c>
      <c r="P116" s="174" t="s">
        <v>16</v>
      </c>
      <c r="Q116" s="174" t="s">
        <v>16</v>
      </c>
      <c r="R116" s="174" t="s">
        <v>16</v>
      </c>
      <c r="S116" s="174" t="s">
        <v>16</v>
      </c>
      <c r="T116" s="174" t="s">
        <v>16</v>
      </c>
      <c r="U116" s="174" t="s">
        <v>16</v>
      </c>
      <c r="V116" s="174" t="s">
        <v>16</v>
      </c>
      <c r="W116" s="174" t="s">
        <v>16</v>
      </c>
      <c r="X116" s="56" t="s">
        <v>16</v>
      </c>
      <c r="Y116" s="73" t="s">
        <v>16</v>
      </c>
      <c r="Z116" s="174" t="s">
        <v>16</v>
      </c>
      <c r="AA116" s="56" t="s">
        <v>16</v>
      </c>
      <c r="AB116" s="73" t="s">
        <v>16</v>
      </c>
      <c r="AC116" s="174" t="s">
        <v>16</v>
      </c>
      <c r="AD116" s="174" t="s">
        <v>16</v>
      </c>
      <c r="AE116" s="174" t="s">
        <v>16</v>
      </c>
      <c r="AF116" s="174" t="s">
        <v>16</v>
      </c>
      <c r="AG116" s="174" t="s">
        <v>16</v>
      </c>
      <c r="AH116" s="174" t="s">
        <v>16</v>
      </c>
      <c r="AI116" s="56" t="s">
        <v>16</v>
      </c>
      <c r="AJ116" s="73" t="s">
        <v>16</v>
      </c>
      <c r="AK116" s="174" t="s">
        <v>16</v>
      </c>
      <c r="AL116" s="174" t="s">
        <v>16</v>
      </c>
      <c r="AM116" s="174" t="s">
        <v>16</v>
      </c>
      <c r="AN116" s="245" t="s">
        <v>20</v>
      </c>
      <c r="AO116" s="56" t="s">
        <v>16</v>
      </c>
      <c r="AP116" s="174" t="s">
        <v>16</v>
      </c>
      <c r="AQ116" s="56" t="s">
        <v>16</v>
      </c>
      <c r="AR116" s="73" t="s">
        <v>20</v>
      </c>
      <c r="AS116" s="174" t="s">
        <v>16</v>
      </c>
      <c r="AT116" s="174" t="s">
        <v>16</v>
      </c>
      <c r="AU116" s="174" t="s">
        <v>16</v>
      </c>
      <c r="AV116" s="174" t="s">
        <v>16</v>
      </c>
      <c r="AW116" s="174" t="s">
        <v>16</v>
      </c>
      <c r="AX116" s="174" t="s">
        <v>16</v>
      </c>
      <c r="AY116" s="174" t="s">
        <v>16</v>
      </c>
      <c r="AZ116" s="174" t="s">
        <v>16</v>
      </c>
      <c r="BA116" s="174" t="s">
        <v>16</v>
      </c>
      <c r="BB116" s="174" t="s">
        <v>16</v>
      </c>
      <c r="BC116" s="174" t="s">
        <v>16</v>
      </c>
      <c r="BD116" s="70" t="s">
        <v>16</v>
      </c>
      <c r="BE116" s="70"/>
    </row>
    <row r="117" spans="1:57" x14ac:dyDescent="0.25">
      <c r="A117" s="217" t="s">
        <v>96</v>
      </c>
      <c r="B117" s="218" t="s">
        <v>97</v>
      </c>
      <c r="C117" s="229"/>
      <c r="D117" s="230" t="s">
        <v>16</v>
      </c>
      <c r="E117" s="227" t="s">
        <v>622</v>
      </c>
      <c r="F117" s="227" t="s">
        <v>622</v>
      </c>
      <c r="G117" s="56" t="s">
        <v>20</v>
      </c>
      <c r="H117" s="73" t="s">
        <v>16</v>
      </c>
      <c r="I117" s="174" t="s">
        <v>16</v>
      </c>
      <c r="J117" s="174" t="s">
        <v>16</v>
      </c>
      <c r="K117" s="174" t="s">
        <v>16</v>
      </c>
      <c r="L117" s="174" t="s">
        <v>16</v>
      </c>
      <c r="M117" s="174" t="s">
        <v>16</v>
      </c>
      <c r="N117" s="174" t="s">
        <v>16</v>
      </c>
      <c r="O117" s="174" t="s">
        <v>16</v>
      </c>
      <c r="P117" s="174" t="s">
        <v>16</v>
      </c>
      <c r="Q117" s="174" t="s">
        <v>16</v>
      </c>
      <c r="R117" s="174" t="s">
        <v>16</v>
      </c>
      <c r="S117" s="174" t="s">
        <v>16</v>
      </c>
      <c r="T117" s="174" t="s">
        <v>16</v>
      </c>
      <c r="U117" s="174" t="s">
        <v>16</v>
      </c>
      <c r="V117" s="174" t="s">
        <v>16</v>
      </c>
      <c r="W117" s="174" t="s">
        <v>16</v>
      </c>
      <c r="X117" s="56" t="s">
        <v>16</v>
      </c>
      <c r="Y117" s="73" t="s">
        <v>16</v>
      </c>
      <c r="Z117" s="174" t="s">
        <v>16</v>
      </c>
      <c r="AA117" s="56" t="s">
        <v>16</v>
      </c>
      <c r="AB117" s="73" t="s">
        <v>16</v>
      </c>
      <c r="AC117" s="174" t="s">
        <v>16</v>
      </c>
      <c r="AD117" s="174" t="s">
        <v>16</v>
      </c>
      <c r="AE117" s="174" t="s">
        <v>16</v>
      </c>
      <c r="AF117" s="174" t="s">
        <v>16</v>
      </c>
      <c r="AG117" s="174" t="s">
        <v>16</v>
      </c>
      <c r="AH117" s="174" t="s">
        <v>16</v>
      </c>
      <c r="AI117" s="56" t="s">
        <v>16</v>
      </c>
      <c r="AJ117" s="73" t="s">
        <v>16</v>
      </c>
      <c r="AK117" s="174" t="s">
        <v>16</v>
      </c>
      <c r="AL117" s="174" t="s">
        <v>16</v>
      </c>
      <c r="AM117" s="174" t="s">
        <v>16</v>
      </c>
      <c r="AN117" s="245" t="s">
        <v>20</v>
      </c>
      <c r="AO117" s="56" t="s">
        <v>16</v>
      </c>
      <c r="AP117" s="174" t="s">
        <v>16</v>
      </c>
      <c r="AQ117" s="56" t="s">
        <v>16</v>
      </c>
      <c r="AR117" s="73" t="s">
        <v>16</v>
      </c>
      <c r="AS117" s="174" t="s">
        <v>16</v>
      </c>
      <c r="AT117" s="174" t="s">
        <v>16</v>
      </c>
      <c r="AU117" s="174" t="s">
        <v>16</v>
      </c>
      <c r="AV117" s="174" t="s">
        <v>16</v>
      </c>
      <c r="AW117" s="174" t="s">
        <v>16</v>
      </c>
      <c r="AX117" s="174" t="s">
        <v>16</v>
      </c>
      <c r="AY117" s="174" t="s">
        <v>16</v>
      </c>
      <c r="AZ117" s="174" t="s">
        <v>16</v>
      </c>
      <c r="BA117" s="174" t="s">
        <v>16</v>
      </c>
      <c r="BB117" s="174" t="s">
        <v>16</v>
      </c>
      <c r="BC117" s="174" t="s">
        <v>16</v>
      </c>
      <c r="BD117" s="70" t="s">
        <v>16</v>
      </c>
      <c r="BE117" s="70"/>
    </row>
    <row r="118" spans="1:57" x14ac:dyDescent="0.25">
      <c r="A118" s="217" t="s">
        <v>98</v>
      </c>
      <c r="B118" s="231" t="s">
        <v>16</v>
      </c>
      <c r="C118" s="229"/>
      <c r="D118" s="230" t="s">
        <v>16</v>
      </c>
      <c r="E118" s="229" t="s">
        <v>16</v>
      </c>
      <c r="F118" s="229" t="s">
        <v>16</v>
      </c>
      <c r="G118" s="230" t="s">
        <v>16</v>
      </c>
      <c r="H118" s="240" t="s">
        <v>16</v>
      </c>
      <c r="I118" s="219" t="s">
        <v>16</v>
      </c>
      <c r="J118" s="219" t="s">
        <v>16</v>
      </c>
      <c r="K118" s="219" t="s">
        <v>16</v>
      </c>
      <c r="L118" s="219" t="s">
        <v>16</v>
      </c>
      <c r="M118" s="219" t="s">
        <v>16</v>
      </c>
      <c r="N118" s="219" t="s">
        <v>16</v>
      </c>
      <c r="O118" s="219" t="s">
        <v>16</v>
      </c>
      <c r="P118" s="219" t="s">
        <v>16</v>
      </c>
      <c r="Q118" s="219" t="s">
        <v>16</v>
      </c>
      <c r="R118" s="219" t="s">
        <v>16</v>
      </c>
      <c r="S118" s="219" t="s">
        <v>16</v>
      </c>
      <c r="T118" s="219" t="s">
        <v>16</v>
      </c>
      <c r="U118" s="219" t="s">
        <v>16</v>
      </c>
      <c r="V118" s="219" t="s">
        <v>16</v>
      </c>
      <c r="W118" s="219" t="s">
        <v>16</v>
      </c>
      <c r="X118" s="225" t="s">
        <v>16</v>
      </c>
      <c r="Y118" s="240" t="s">
        <v>16</v>
      </c>
      <c r="Z118" s="219" t="s">
        <v>16</v>
      </c>
      <c r="AA118" s="225" t="s">
        <v>16</v>
      </c>
      <c r="AB118" s="240" t="s">
        <v>16</v>
      </c>
      <c r="AC118" s="219" t="s">
        <v>16</v>
      </c>
      <c r="AD118" s="219" t="s">
        <v>16</v>
      </c>
      <c r="AE118" s="219" t="s">
        <v>16</v>
      </c>
      <c r="AF118" s="219" t="s">
        <v>16</v>
      </c>
      <c r="AG118" s="219" t="s">
        <v>16</v>
      </c>
      <c r="AH118" s="219" t="s">
        <v>16</v>
      </c>
      <c r="AI118" s="225" t="s">
        <v>16</v>
      </c>
      <c r="AJ118" s="240" t="s">
        <v>16</v>
      </c>
      <c r="AK118" s="219" t="s">
        <v>16</v>
      </c>
      <c r="AL118" s="219" t="s">
        <v>16</v>
      </c>
      <c r="AM118" s="219" t="s">
        <v>16</v>
      </c>
      <c r="AN118" s="245" t="s">
        <v>16</v>
      </c>
      <c r="AO118" s="230" t="s">
        <v>16</v>
      </c>
      <c r="AP118" s="219" t="s">
        <v>16</v>
      </c>
      <c r="AQ118" s="225" t="s">
        <v>16</v>
      </c>
      <c r="AR118" s="240" t="s">
        <v>16</v>
      </c>
      <c r="AS118" s="219" t="s">
        <v>16</v>
      </c>
      <c r="AT118" s="219" t="s">
        <v>16</v>
      </c>
      <c r="AU118" s="219" t="s">
        <v>16</v>
      </c>
      <c r="AV118" s="219" t="s">
        <v>16</v>
      </c>
      <c r="AW118" s="219" t="s">
        <v>16</v>
      </c>
      <c r="AX118" s="219" t="s">
        <v>16</v>
      </c>
      <c r="AY118" s="219" t="s">
        <v>16</v>
      </c>
      <c r="AZ118" s="219" t="s">
        <v>16</v>
      </c>
      <c r="BA118" s="219" t="s">
        <v>16</v>
      </c>
      <c r="BB118" s="219" t="s">
        <v>16</v>
      </c>
      <c r="BC118" s="219" t="s">
        <v>16</v>
      </c>
      <c r="BD118" s="274" t="s">
        <v>16</v>
      </c>
      <c r="BE118" s="70"/>
    </row>
    <row r="119" spans="1:57" x14ac:dyDescent="0.25">
      <c r="A119" s="217" t="s">
        <v>99</v>
      </c>
      <c r="B119" s="231" t="s">
        <v>16</v>
      </c>
      <c r="C119" s="229"/>
      <c r="D119" s="230" t="s">
        <v>16</v>
      </c>
      <c r="E119" s="229" t="s">
        <v>16</v>
      </c>
      <c r="F119" s="229" t="s">
        <v>16</v>
      </c>
      <c r="G119" s="230" t="s">
        <v>16</v>
      </c>
      <c r="H119" s="240" t="s">
        <v>16</v>
      </c>
      <c r="I119" s="219" t="s">
        <v>16</v>
      </c>
      <c r="J119" s="219" t="s">
        <v>16</v>
      </c>
      <c r="K119" s="219" t="s">
        <v>16</v>
      </c>
      <c r="L119" s="219" t="s">
        <v>16</v>
      </c>
      <c r="M119" s="219" t="s">
        <v>16</v>
      </c>
      <c r="N119" s="219" t="s">
        <v>16</v>
      </c>
      <c r="O119" s="219" t="s">
        <v>16</v>
      </c>
      <c r="P119" s="219" t="s">
        <v>16</v>
      </c>
      <c r="Q119" s="219" t="s">
        <v>16</v>
      </c>
      <c r="R119" s="219" t="s">
        <v>16</v>
      </c>
      <c r="S119" s="219" t="s">
        <v>16</v>
      </c>
      <c r="T119" s="219" t="s">
        <v>16</v>
      </c>
      <c r="U119" s="219" t="s">
        <v>16</v>
      </c>
      <c r="V119" s="219" t="s">
        <v>16</v>
      </c>
      <c r="W119" s="219" t="s">
        <v>16</v>
      </c>
      <c r="X119" s="225" t="s">
        <v>16</v>
      </c>
      <c r="Y119" s="240" t="s">
        <v>16</v>
      </c>
      <c r="Z119" s="219" t="s">
        <v>16</v>
      </c>
      <c r="AA119" s="225" t="s">
        <v>16</v>
      </c>
      <c r="AB119" s="240" t="s">
        <v>16</v>
      </c>
      <c r="AC119" s="219" t="s">
        <v>16</v>
      </c>
      <c r="AD119" s="219" t="s">
        <v>16</v>
      </c>
      <c r="AE119" s="219" t="s">
        <v>16</v>
      </c>
      <c r="AF119" s="219" t="s">
        <v>16</v>
      </c>
      <c r="AG119" s="219" t="s">
        <v>16</v>
      </c>
      <c r="AH119" s="219" t="s">
        <v>16</v>
      </c>
      <c r="AI119" s="225" t="s">
        <v>16</v>
      </c>
      <c r="AJ119" s="240" t="s">
        <v>16</v>
      </c>
      <c r="AK119" s="219" t="s">
        <v>16</v>
      </c>
      <c r="AL119" s="219" t="s">
        <v>16</v>
      </c>
      <c r="AM119" s="219" t="s">
        <v>16</v>
      </c>
      <c r="AN119" s="245" t="s">
        <v>16</v>
      </c>
      <c r="AO119" s="230" t="s">
        <v>16</v>
      </c>
      <c r="AP119" s="219" t="s">
        <v>16</v>
      </c>
      <c r="AQ119" s="225" t="s">
        <v>16</v>
      </c>
      <c r="AR119" s="240" t="s">
        <v>16</v>
      </c>
      <c r="AS119" s="219" t="s">
        <v>16</v>
      </c>
      <c r="AT119" s="219" t="s">
        <v>16</v>
      </c>
      <c r="AU119" s="219" t="s">
        <v>16</v>
      </c>
      <c r="AV119" s="219" t="s">
        <v>16</v>
      </c>
      <c r="AW119" s="219" t="s">
        <v>16</v>
      </c>
      <c r="AX119" s="219" t="s">
        <v>16</v>
      </c>
      <c r="AY119" s="219" t="s">
        <v>16</v>
      </c>
      <c r="AZ119" s="219" t="s">
        <v>16</v>
      </c>
      <c r="BA119" s="219" t="s">
        <v>16</v>
      </c>
      <c r="BB119" s="219" t="s">
        <v>16</v>
      </c>
      <c r="BC119" s="219" t="s">
        <v>16</v>
      </c>
      <c r="BD119" s="274" t="s">
        <v>16</v>
      </c>
      <c r="BE119" s="70"/>
    </row>
    <row r="120" spans="1:57" x14ac:dyDescent="0.25">
      <c r="A120" s="217" t="s">
        <v>100</v>
      </c>
      <c r="B120" s="231" t="s">
        <v>16</v>
      </c>
      <c r="C120" s="229"/>
      <c r="D120" s="230" t="s">
        <v>16</v>
      </c>
      <c r="E120" s="229" t="s">
        <v>16</v>
      </c>
      <c r="F120" s="229" t="s">
        <v>16</v>
      </c>
      <c r="G120" s="230" t="s">
        <v>16</v>
      </c>
      <c r="H120" s="240" t="s">
        <v>16</v>
      </c>
      <c r="I120" s="219" t="s">
        <v>16</v>
      </c>
      <c r="J120" s="219" t="s">
        <v>16</v>
      </c>
      <c r="K120" s="219" t="s">
        <v>16</v>
      </c>
      <c r="L120" s="219" t="s">
        <v>16</v>
      </c>
      <c r="M120" s="219" t="s">
        <v>16</v>
      </c>
      <c r="N120" s="219" t="s">
        <v>16</v>
      </c>
      <c r="O120" s="219" t="s">
        <v>16</v>
      </c>
      <c r="P120" s="219" t="s">
        <v>16</v>
      </c>
      <c r="Q120" s="219" t="s">
        <v>16</v>
      </c>
      <c r="R120" s="219" t="s">
        <v>16</v>
      </c>
      <c r="S120" s="219" t="s">
        <v>16</v>
      </c>
      <c r="T120" s="219" t="s">
        <v>16</v>
      </c>
      <c r="U120" s="219" t="s">
        <v>16</v>
      </c>
      <c r="V120" s="219" t="s">
        <v>16</v>
      </c>
      <c r="W120" s="219" t="s">
        <v>16</v>
      </c>
      <c r="X120" s="225" t="s">
        <v>16</v>
      </c>
      <c r="Y120" s="240" t="s">
        <v>16</v>
      </c>
      <c r="Z120" s="219" t="s">
        <v>16</v>
      </c>
      <c r="AA120" s="225" t="s">
        <v>16</v>
      </c>
      <c r="AB120" s="240" t="s">
        <v>16</v>
      </c>
      <c r="AC120" s="219" t="s">
        <v>16</v>
      </c>
      <c r="AD120" s="219" t="s">
        <v>16</v>
      </c>
      <c r="AE120" s="219" t="s">
        <v>16</v>
      </c>
      <c r="AF120" s="219" t="s">
        <v>16</v>
      </c>
      <c r="AG120" s="219" t="s">
        <v>16</v>
      </c>
      <c r="AH120" s="219" t="s">
        <v>16</v>
      </c>
      <c r="AI120" s="225" t="s">
        <v>16</v>
      </c>
      <c r="AJ120" s="240" t="s">
        <v>16</v>
      </c>
      <c r="AK120" s="219" t="s">
        <v>16</v>
      </c>
      <c r="AL120" s="219" t="s">
        <v>16</v>
      </c>
      <c r="AM120" s="219" t="s">
        <v>16</v>
      </c>
      <c r="AN120" s="245" t="s">
        <v>16</v>
      </c>
      <c r="AO120" s="230" t="s">
        <v>16</v>
      </c>
      <c r="AP120" s="219" t="s">
        <v>16</v>
      </c>
      <c r="AQ120" s="225" t="s">
        <v>16</v>
      </c>
      <c r="AR120" s="240" t="s">
        <v>16</v>
      </c>
      <c r="AS120" s="219" t="s">
        <v>16</v>
      </c>
      <c r="AT120" s="219" t="s">
        <v>16</v>
      </c>
      <c r="AU120" s="219" t="s">
        <v>16</v>
      </c>
      <c r="AV120" s="219" t="s">
        <v>16</v>
      </c>
      <c r="AW120" s="219" t="s">
        <v>16</v>
      </c>
      <c r="AX120" s="219" t="s">
        <v>16</v>
      </c>
      <c r="AY120" s="219" t="s">
        <v>16</v>
      </c>
      <c r="AZ120" s="219" t="s">
        <v>16</v>
      </c>
      <c r="BA120" s="219" t="s">
        <v>16</v>
      </c>
      <c r="BB120" s="219" t="s">
        <v>16</v>
      </c>
      <c r="BC120" s="219" t="s">
        <v>16</v>
      </c>
      <c r="BD120" s="274" t="s">
        <v>16</v>
      </c>
      <c r="BE120" s="70"/>
    </row>
    <row r="121" spans="1:57" x14ac:dyDescent="0.25">
      <c r="A121" s="217" t="s">
        <v>101</v>
      </c>
      <c r="B121" s="231" t="s">
        <v>16</v>
      </c>
      <c r="C121" s="229"/>
      <c r="D121" s="230" t="s">
        <v>16</v>
      </c>
      <c r="E121" s="229" t="s">
        <v>16</v>
      </c>
      <c r="F121" s="229" t="s">
        <v>16</v>
      </c>
      <c r="G121" s="230" t="s">
        <v>16</v>
      </c>
      <c r="H121" s="240" t="s">
        <v>16</v>
      </c>
      <c r="I121" s="219" t="s">
        <v>16</v>
      </c>
      <c r="J121" s="219" t="s">
        <v>16</v>
      </c>
      <c r="K121" s="219" t="s">
        <v>16</v>
      </c>
      <c r="L121" s="219" t="s">
        <v>16</v>
      </c>
      <c r="M121" s="219" t="s">
        <v>16</v>
      </c>
      <c r="N121" s="219" t="s">
        <v>16</v>
      </c>
      <c r="O121" s="219" t="s">
        <v>16</v>
      </c>
      <c r="P121" s="219" t="s">
        <v>16</v>
      </c>
      <c r="Q121" s="219" t="s">
        <v>16</v>
      </c>
      <c r="R121" s="219" t="s">
        <v>16</v>
      </c>
      <c r="S121" s="219" t="s">
        <v>16</v>
      </c>
      <c r="T121" s="219" t="s">
        <v>16</v>
      </c>
      <c r="U121" s="219" t="s">
        <v>16</v>
      </c>
      <c r="V121" s="219" t="s">
        <v>16</v>
      </c>
      <c r="W121" s="219" t="s">
        <v>16</v>
      </c>
      <c r="X121" s="225" t="s">
        <v>16</v>
      </c>
      <c r="Y121" s="240" t="s">
        <v>16</v>
      </c>
      <c r="Z121" s="219" t="s">
        <v>16</v>
      </c>
      <c r="AA121" s="225" t="s">
        <v>16</v>
      </c>
      <c r="AB121" s="240" t="s">
        <v>16</v>
      </c>
      <c r="AC121" s="219" t="s">
        <v>16</v>
      </c>
      <c r="AD121" s="219" t="s">
        <v>16</v>
      </c>
      <c r="AE121" s="219" t="s">
        <v>16</v>
      </c>
      <c r="AF121" s="219" t="s">
        <v>16</v>
      </c>
      <c r="AG121" s="219" t="s">
        <v>16</v>
      </c>
      <c r="AH121" s="219" t="s">
        <v>16</v>
      </c>
      <c r="AI121" s="225" t="s">
        <v>16</v>
      </c>
      <c r="AJ121" s="240" t="s">
        <v>16</v>
      </c>
      <c r="AK121" s="219" t="s">
        <v>16</v>
      </c>
      <c r="AL121" s="219" t="s">
        <v>16</v>
      </c>
      <c r="AM121" s="219" t="s">
        <v>16</v>
      </c>
      <c r="AN121" s="245" t="s">
        <v>16</v>
      </c>
      <c r="AO121" s="230" t="s">
        <v>16</v>
      </c>
      <c r="AP121" s="219" t="s">
        <v>16</v>
      </c>
      <c r="AQ121" s="225" t="s">
        <v>16</v>
      </c>
      <c r="AR121" s="240" t="s">
        <v>16</v>
      </c>
      <c r="AS121" s="219" t="s">
        <v>16</v>
      </c>
      <c r="AT121" s="219" t="s">
        <v>16</v>
      </c>
      <c r="AU121" s="219" t="s">
        <v>16</v>
      </c>
      <c r="AV121" s="219" t="s">
        <v>16</v>
      </c>
      <c r="AW121" s="219" t="s">
        <v>16</v>
      </c>
      <c r="AX121" s="219" t="s">
        <v>16</v>
      </c>
      <c r="AY121" s="219" t="s">
        <v>16</v>
      </c>
      <c r="AZ121" s="219" t="s">
        <v>16</v>
      </c>
      <c r="BA121" s="219" t="s">
        <v>16</v>
      </c>
      <c r="BB121" s="219" t="s">
        <v>16</v>
      </c>
      <c r="BC121" s="219" t="s">
        <v>16</v>
      </c>
      <c r="BD121" s="274" t="s">
        <v>16</v>
      </c>
      <c r="BE121" s="70"/>
    </row>
    <row r="122" spans="1:57" x14ac:dyDescent="0.25">
      <c r="A122" s="217" t="s">
        <v>102</v>
      </c>
      <c r="B122" s="231" t="s">
        <v>16</v>
      </c>
      <c r="C122" s="229"/>
      <c r="D122" s="230" t="s">
        <v>16</v>
      </c>
      <c r="E122" s="229" t="s">
        <v>16</v>
      </c>
      <c r="F122" s="229" t="s">
        <v>16</v>
      </c>
      <c r="G122" s="230" t="s">
        <v>16</v>
      </c>
      <c r="H122" s="240" t="s">
        <v>16</v>
      </c>
      <c r="I122" s="219" t="s">
        <v>16</v>
      </c>
      <c r="J122" s="219" t="s">
        <v>16</v>
      </c>
      <c r="K122" s="219" t="s">
        <v>16</v>
      </c>
      <c r="L122" s="219" t="s">
        <v>16</v>
      </c>
      <c r="M122" s="219" t="s">
        <v>16</v>
      </c>
      <c r="N122" s="219" t="s">
        <v>16</v>
      </c>
      <c r="O122" s="219" t="s">
        <v>16</v>
      </c>
      <c r="P122" s="219" t="s">
        <v>16</v>
      </c>
      <c r="Q122" s="219" t="s">
        <v>16</v>
      </c>
      <c r="R122" s="219" t="s">
        <v>16</v>
      </c>
      <c r="S122" s="219" t="s">
        <v>16</v>
      </c>
      <c r="T122" s="219" t="s">
        <v>16</v>
      </c>
      <c r="U122" s="219" t="s">
        <v>16</v>
      </c>
      <c r="V122" s="219" t="s">
        <v>16</v>
      </c>
      <c r="W122" s="219" t="s">
        <v>16</v>
      </c>
      <c r="X122" s="225" t="s">
        <v>16</v>
      </c>
      <c r="Y122" s="240" t="s">
        <v>16</v>
      </c>
      <c r="Z122" s="219" t="s">
        <v>16</v>
      </c>
      <c r="AA122" s="225" t="s">
        <v>16</v>
      </c>
      <c r="AB122" s="240" t="s">
        <v>16</v>
      </c>
      <c r="AC122" s="219" t="s">
        <v>16</v>
      </c>
      <c r="AD122" s="219" t="s">
        <v>16</v>
      </c>
      <c r="AE122" s="219" t="s">
        <v>16</v>
      </c>
      <c r="AF122" s="219" t="s">
        <v>16</v>
      </c>
      <c r="AG122" s="219" t="s">
        <v>16</v>
      </c>
      <c r="AH122" s="219" t="s">
        <v>16</v>
      </c>
      <c r="AI122" s="225" t="s">
        <v>16</v>
      </c>
      <c r="AJ122" s="240" t="s">
        <v>16</v>
      </c>
      <c r="AK122" s="219" t="s">
        <v>16</v>
      </c>
      <c r="AL122" s="219" t="s">
        <v>16</v>
      </c>
      <c r="AM122" s="219" t="s">
        <v>16</v>
      </c>
      <c r="AN122" s="245" t="s">
        <v>16</v>
      </c>
      <c r="AO122" s="230" t="s">
        <v>16</v>
      </c>
      <c r="AP122" s="219" t="s">
        <v>16</v>
      </c>
      <c r="AQ122" s="225" t="s">
        <v>16</v>
      </c>
      <c r="AR122" s="240" t="s">
        <v>16</v>
      </c>
      <c r="AS122" s="219" t="s">
        <v>16</v>
      </c>
      <c r="AT122" s="219" t="s">
        <v>16</v>
      </c>
      <c r="AU122" s="219" t="s">
        <v>16</v>
      </c>
      <c r="AV122" s="219" t="s">
        <v>16</v>
      </c>
      <c r="AW122" s="219" t="s">
        <v>16</v>
      </c>
      <c r="AX122" s="219" t="s">
        <v>16</v>
      </c>
      <c r="AY122" s="219" t="s">
        <v>16</v>
      </c>
      <c r="AZ122" s="219" t="s">
        <v>16</v>
      </c>
      <c r="BA122" s="219" t="s">
        <v>16</v>
      </c>
      <c r="BB122" s="219" t="s">
        <v>16</v>
      </c>
      <c r="BC122" s="219" t="s">
        <v>16</v>
      </c>
      <c r="BD122" s="274" t="s">
        <v>16</v>
      </c>
      <c r="BE122" s="70"/>
    </row>
    <row r="123" spans="1:57" x14ac:dyDescent="0.25">
      <c r="A123" s="217" t="s">
        <v>103</v>
      </c>
      <c r="B123" s="231" t="s">
        <v>16</v>
      </c>
      <c r="C123" s="219"/>
      <c r="D123" s="225" t="s">
        <v>16</v>
      </c>
      <c r="E123" s="219" t="s">
        <v>16</v>
      </c>
      <c r="F123" s="219" t="s">
        <v>16</v>
      </c>
      <c r="G123" s="225" t="s">
        <v>16</v>
      </c>
      <c r="H123" s="240" t="s">
        <v>16</v>
      </c>
      <c r="I123" s="219" t="s">
        <v>16</v>
      </c>
      <c r="J123" s="219" t="s">
        <v>16</v>
      </c>
      <c r="K123" s="219" t="s">
        <v>16</v>
      </c>
      <c r="L123" s="219" t="s">
        <v>16</v>
      </c>
      <c r="M123" s="219" t="s">
        <v>16</v>
      </c>
      <c r="N123" s="219" t="s">
        <v>16</v>
      </c>
      <c r="O123" s="219" t="s">
        <v>16</v>
      </c>
      <c r="P123" s="219" t="s">
        <v>16</v>
      </c>
      <c r="Q123" s="219" t="s">
        <v>16</v>
      </c>
      <c r="R123" s="219" t="s">
        <v>16</v>
      </c>
      <c r="S123" s="219" t="s">
        <v>16</v>
      </c>
      <c r="T123" s="219" t="s">
        <v>16</v>
      </c>
      <c r="U123" s="219" t="s">
        <v>16</v>
      </c>
      <c r="V123" s="219" t="s">
        <v>16</v>
      </c>
      <c r="W123" s="219" t="s">
        <v>16</v>
      </c>
      <c r="X123" s="225" t="s">
        <v>16</v>
      </c>
      <c r="Y123" s="240" t="s">
        <v>16</v>
      </c>
      <c r="Z123" s="219" t="s">
        <v>16</v>
      </c>
      <c r="AA123" s="225" t="s">
        <v>16</v>
      </c>
      <c r="AB123" s="240" t="s">
        <v>16</v>
      </c>
      <c r="AC123" s="219" t="s">
        <v>16</v>
      </c>
      <c r="AD123" s="219" t="s">
        <v>16</v>
      </c>
      <c r="AE123" s="219" t="s">
        <v>16</v>
      </c>
      <c r="AF123" s="219" t="s">
        <v>16</v>
      </c>
      <c r="AG123" s="219" t="s">
        <v>16</v>
      </c>
      <c r="AH123" s="219" t="s">
        <v>16</v>
      </c>
      <c r="AI123" s="225" t="s">
        <v>16</v>
      </c>
      <c r="AJ123" s="240" t="s">
        <v>16</v>
      </c>
      <c r="AK123" s="219" t="s">
        <v>16</v>
      </c>
      <c r="AL123" s="219" t="s">
        <v>16</v>
      </c>
      <c r="AM123" s="219" t="s">
        <v>16</v>
      </c>
      <c r="AN123" s="240" t="s">
        <v>16</v>
      </c>
      <c r="AO123" s="225" t="s">
        <v>16</v>
      </c>
      <c r="AP123" s="219" t="s">
        <v>16</v>
      </c>
      <c r="AQ123" s="225" t="s">
        <v>16</v>
      </c>
      <c r="AR123" s="240" t="s">
        <v>16</v>
      </c>
      <c r="AS123" s="219" t="s">
        <v>16</v>
      </c>
      <c r="AT123" s="219" t="s">
        <v>16</v>
      </c>
      <c r="AU123" s="219" t="s">
        <v>16</v>
      </c>
      <c r="AV123" s="219" t="s">
        <v>16</v>
      </c>
      <c r="AW123" s="219" t="s">
        <v>16</v>
      </c>
      <c r="AX123" s="219" t="s">
        <v>16</v>
      </c>
      <c r="AY123" s="219" t="s">
        <v>16</v>
      </c>
      <c r="AZ123" s="219" t="s">
        <v>16</v>
      </c>
      <c r="BA123" s="219" t="s">
        <v>16</v>
      </c>
      <c r="BB123" s="219" t="s">
        <v>16</v>
      </c>
      <c r="BC123" s="219" t="s">
        <v>16</v>
      </c>
      <c r="BD123" s="274" t="s">
        <v>16</v>
      </c>
      <c r="BE123" s="70"/>
    </row>
    <row r="124" spans="1:57" x14ac:dyDescent="0.25">
      <c r="A124" s="217" t="s">
        <v>104</v>
      </c>
      <c r="B124" s="231" t="s">
        <v>16</v>
      </c>
      <c r="C124" s="219"/>
      <c r="D124" s="225" t="s">
        <v>16</v>
      </c>
      <c r="E124" s="219" t="s">
        <v>16</v>
      </c>
      <c r="F124" s="219" t="s">
        <v>16</v>
      </c>
      <c r="G124" s="225" t="s">
        <v>16</v>
      </c>
      <c r="H124" s="240" t="s">
        <v>16</v>
      </c>
      <c r="I124" s="219" t="s">
        <v>16</v>
      </c>
      <c r="J124" s="219" t="s">
        <v>16</v>
      </c>
      <c r="K124" s="219" t="s">
        <v>16</v>
      </c>
      <c r="L124" s="219" t="s">
        <v>16</v>
      </c>
      <c r="M124" s="219" t="s">
        <v>16</v>
      </c>
      <c r="N124" s="219" t="s">
        <v>16</v>
      </c>
      <c r="O124" s="219" t="s">
        <v>16</v>
      </c>
      <c r="P124" s="219" t="s">
        <v>16</v>
      </c>
      <c r="Q124" s="219" t="s">
        <v>16</v>
      </c>
      <c r="R124" s="219" t="s">
        <v>16</v>
      </c>
      <c r="S124" s="219" t="s">
        <v>16</v>
      </c>
      <c r="T124" s="219" t="s">
        <v>16</v>
      </c>
      <c r="U124" s="219" t="s">
        <v>16</v>
      </c>
      <c r="V124" s="219" t="s">
        <v>16</v>
      </c>
      <c r="W124" s="219" t="s">
        <v>16</v>
      </c>
      <c r="X124" s="225" t="s">
        <v>16</v>
      </c>
      <c r="Y124" s="240" t="s">
        <v>16</v>
      </c>
      <c r="Z124" s="219" t="s">
        <v>16</v>
      </c>
      <c r="AA124" s="225" t="s">
        <v>16</v>
      </c>
      <c r="AB124" s="240" t="s">
        <v>16</v>
      </c>
      <c r="AC124" s="219" t="s">
        <v>16</v>
      </c>
      <c r="AD124" s="219" t="s">
        <v>16</v>
      </c>
      <c r="AE124" s="219" t="s">
        <v>16</v>
      </c>
      <c r="AF124" s="219" t="s">
        <v>16</v>
      </c>
      <c r="AG124" s="219" t="s">
        <v>16</v>
      </c>
      <c r="AH124" s="219" t="s">
        <v>16</v>
      </c>
      <c r="AI124" s="225" t="s">
        <v>16</v>
      </c>
      <c r="AJ124" s="240" t="s">
        <v>16</v>
      </c>
      <c r="AK124" s="219" t="s">
        <v>16</v>
      </c>
      <c r="AL124" s="219" t="s">
        <v>16</v>
      </c>
      <c r="AM124" s="219" t="s">
        <v>16</v>
      </c>
      <c r="AN124" s="240" t="s">
        <v>16</v>
      </c>
      <c r="AO124" s="225" t="s">
        <v>16</v>
      </c>
      <c r="AP124" s="219" t="s">
        <v>16</v>
      </c>
      <c r="AQ124" s="225" t="s">
        <v>16</v>
      </c>
      <c r="AR124" s="240" t="s">
        <v>16</v>
      </c>
      <c r="AS124" s="219" t="s">
        <v>16</v>
      </c>
      <c r="AT124" s="219" t="s">
        <v>16</v>
      </c>
      <c r="AU124" s="219" t="s">
        <v>16</v>
      </c>
      <c r="AV124" s="219" t="s">
        <v>16</v>
      </c>
      <c r="AW124" s="219" t="s">
        <v>16</v>
      </c>
      <c r="AX124" s="219" t="s">
        <v>16</v>
      </c>
      <c r="AY124" s="219" t="s">
        <v>16</v>
      </c>
      <c r="AZ124" s="219" t="s">
        <v>16</v>
      </c>
      <c r="BA124" s="219" t="s">
        <v>16</v>
      </c>
      <c r="BB124" s="219" t="s">
        <v>16</v>
      </c>
      <c r="BC124" s="219" t="s">
        <v>16</v>
      </c>
      <c r="BD124" s="274" t="s">
        <v>16</v>
      </c>
      <c r="BE124" s="70"/>
    </row>
    <row r="125" spans="1:57" x14ac:dyDescent="0.25">
      <c r="A125" s="217" t="s">
        <v>105</v>
      </c>
      <c r="B125" s="231" t="s">
        <v>16</v>
      </c>
      <c r="C125" s="219"/>
      <c r="D125" s="225" t="s">
        <v>16</v>
      </c>
      <c r="E125" s="219" t="s">
        <v>16</v>
      </c>
      <c r="F125" s="219" t="s">
        <v>16</v>
      </c>
      <c r="G125" s="225" t="s">
        <v>16</v>
      </c>
      <c r="H125" s="240" t="s">
        <v>16</v>
      </c>
      <c r="I125" s="219" t="s">
        <v>16</v>
      </c>
      <c r="J125" s="219" t="s">
        <v>16</v>
      </c>
      <c r="K125" s="219" t="s">
        <v>16</v>
      </c>
      <c r="L125" s="219" t="s">
        <v>16</v>
      </c>
      <c r="M125" s="219" t="s">
        <v>16</v>
      </c>
      <c r="N125" s="219" t="s">
        <v>16</v>
      </c>
      <c r="O125" s="219" t="s">
        <v>16</v>
      </c>
      <c r="P125" s="219" t="s">
        <v>16</v>
      </c>
      <c r="Q125" s="219" t="s">
        <v>16</v>
      </c>
      <c r="R125" s="219" t="s">
        <v>16</v>
      </c>
      <c r="S125" s="219" t="s">
        <v>16</v>
      </c>
      <c r="T125" s="219" t="s">
        <v>16</v>
      </c>
      <c r="U125" s="219" t="s">
        <v>16</v>
      </c>
      <c r="V125" s="219" t="s">
        <v>16</v>
      </c>
      <c r="W125" s="219" t="s">
        <v>16</v>
      </c>
      <c r="X125" s="225" t="s">
        <v>16</v>
      </c>
      <c r="Y125" s="240" t="s">
        <v>16</v>
      </c>
      <c r="Z125" s="219" t="s">
        <v>16</v>
      </c>
      <c r="AA125" s="225" t="s">
        <v>16</v>
      </c>
      <c r="AB125" s="240" t="s">
        <v>16</v>
      </c>
      <c r="AC125" s="219" t="s">
        <v>16</v>
      </c>
      <c r="AD125" s="219" t="s">
        <v>16</v>
      </c>
      <c r="AE125" s="219" t="s">
        <v>16</v>
      </c>
      <c r="AF125" s="219" t="s">
        <v>16</v>
      </c>
      <c r="AG125" s="219" t="s">
        <v>16</v>
      </c>
      <c r="AH125" s="219" t="s">
        <v>16</v>
      </c>
      <c r="AI125" s="225" t="s">
        <v>16</v>
      </c>
      <c r="AJ125" s="240" t="s">
        <v>16</v>
      </c>
      <c r="AK125" s="219" t="s">
        <v>16</v>
      </c>
      <c r="AL125" s="219" t="s">
        <v>16</v>
      </c>
      <c r="AM125" s="219" t="s">
        <v>16</v>
      </c>
      <c r="AN125" s="240" t="s">
        <v>16</v>
      </c>
      <c r="AO125" s="225" t="s">
        <v>16</v>
      </c>
      <c r="AP125" s="219" t="s">
        <v>16</v>
      </c>
      <c r="AQ125" s="225" t="s">
        <v>16</v>
      </c>
      <c r="AR125" s="240" t="s">
        <v>16</v>
      </c>
      <c r="AS125" s="219" t="s">
        <v>16</v>
      </c>
      <c r="AT125" s="219" t="s">
        <v>16</v>
      </c>
      <c r="AU125" s="219" t="s">
        <v>16</v>
      </c>
      <c r="AV125" s="219" t="s">
        <v>16</v>
      </c>
      <c r="AW125" s="219" t="s">
        <v>16</v>
      </c>
      <c r="AX125" s="219" t="s">
        <v>16</v>
      </c>
      <c r="AY125" s="219" t="s">
        <v>16</v>
      </c>
      <c r="AZ125" s="219" t="s">
        <v>16</v>
      </c>
      <c r="BA125" s="219" t="s">
        <v>16</v>
      </c>
      <c r="BB125" s="219" t="s">
        <v>16</v>
      </c>
      <c r="BC125" s="219" t="s">
        <v>16</v>
      </c>
      <c r="BD125" s="274" t="s">
        <v>16</v>
      </c>
      <c r="BE125" s="70"/>
    </row>
    <row r="126" spans="1:57" x14ac:dyDescent="0.25">
      <c r="A126" s="217" t="s">
        <v>809</v>
      </c>
      <c r="B126" s="231"/>
      <c r="C126" s="174" t="s">
        <v>16</v>
      </c>
      <c r="D126" s="230" t="s">
        <v>16</v>
      </c>
      <c r="E126" s="219" t="s">
        <v>20</v>
      </c>
      <c r="F126" s="219" t="s">
        <v>20</v>
      </c>
      <c r="G126" s="225">
        <f>SUM(Tabela1[[#This Row],[AD Case]:[AD Control]])</f>
        <v>42708</v>
      </c>
      <c r="H126" s="257">
        <v>20464</v>
      </c>
      <c r="I126" s="258">
        <v>22244</v>
      </c>
      <c r="J126" s="219" t="s">
        <v>16</v>
      </c>
      <c r="K126" s="219" t="s">
        <v>16</v>
      </c>
      <c r="L126" s="219" t="s">
        <v>16</v>
      </c>
      <c r="M126" s="219" t="s">
        <v>16</v>
      </c>
      <c r="N126" s="219" t="s">
        <v>16</v>
      </c>
      <c r="O126" s="219" t="s">
        <v>16</v>
      </c>
      <c r="P126" s="219" t="s">
        <v>16</v>
      </c>
      <c r="Q126" s="219" t="s">
        <v>16</v>
      </c>
      <c r="R126" s="219" t="s">
        <v>16</v>
      </c>
      <c r="S126" s="219" t="s">
        <v>16</v>
      </c>
      <c r="T126" s="219" t="s">
        <v>16</v>
      </c>
      <c r="U126" s="219" t="s">
        <v>16</v>
      </c>
      <c r="V126" s="219" t="s">
        <v>16</v>
      </c>
      <c r="W126" s="219" t="s">
        <v>16</v>
      </c>
      <c r="X126" s="225">
        <f>SUM(Tabela1[[#This Row],[AD Case]:[AD Control]])</f>
        <v>42708</v>
      </c>
      <c r="Y126" s="240" t="s">
        <v>20</v>
      </c>
      <c r="Z126" s="219" t="s">
        <v>20</v>
      </c>
      <c r="AA126" s="225" t="s">
        <v>16</v>
      </c>
      <c r="AB126" s="240" t="s">
        <v>16</v>
      </c>
      <c r="AC126" s="219" t="s">
        <v>16</v>
      </c>
      <c r="AD126" s="219" t="s">
        <v>16</v>
      </c>
      <c r="AE126" s="219" t="s">
        <v>16</v>
      </c>
      <c r="AF126" s="219" t="s">
        <v>16</v>
      </c>
      <c r="AG126" s="219" t="s">
        <v>16</v>
      </c>
      <c r="AH126" s="219" t="s">
        <v>16</v>
      </c>
      <c r="AI126" s="225" t="s">
        <v>16</v>
      </c>
      <c r="AJ126" s="240" t="s">
        <v>16</v>
      </c>
      <c r="AK126" s="219" t="s">
        <v>16</v>
      </c>
      <c r="AL126" s="219" t="s">
        <v>16</v>
      </c>
      <c r="AM126" s="219" t="s">
        <v>16</v>
      </c>
      <c r="AN126" s="240" t="s">
        <v>11</v>
      </c>
      <c r="AO126" s="56" t="s">
        <v>16</v>
      </c>
      <c r="AP126" s="288"/>
      <c r="AQ126" s="225"/>
      <c r="AR126" s="240"/>
      <c r="AS126" s="219"/>
      <c r="AT126" s="219"/>
      <c r="AU126" s="219"/>
      <c r="AV126" s="219"/>
      <c r="AW126" s="219"/>
      <c r="AX126" s="219"/>
      <c r="AY126" s="219"/>
      <c r="AZ126" s="219"/>
      <c r="BA126" s="272"/>
      <c r="BB126" s="272"/>
      <c r="BC126" s="219"/>
      <c r="BD126" s="274"/>
      <c r="BE126" s="70"/>
    </row>
    <row r="127" spans="1:57" x14ac:dyDescent="0.25">
      <c r="A127" s="232" t="s">
        <v>735</v>
      </c>
      <c r="B127" s="233"/>
      <c r="C127" s="234"/>
      <c r="D127" s="284"/>
      <c r="E127" s="234"/>
      <c r="F127" s="234"/>
      <c r="G127" s="235"/>
      <c r="H127" s="246"/>
      <c r="I127" s="234"/>
      <c r="J127" s="234"/>
      <c r="K127" s="234"/>
      <c r="L127" s="234"/>
      <c r="M127" s="234"/>
      <c r="N127" s="234"/>
      <c r="O127" s="234"/>
      <c r="P127" s="234"/>
      <c r="Q127" s="234"/>
      <c r="R127" s="234"/>
      <c r="S127" s="234"/>
      <c r="T127" s="234"/>
      <c r="U127" s="234"/>
      <c r="V127" s="234"/>
      <c r="W127" s="234"/>
      <c r="X127" s="235"/>
      <c r="Y127" s="246"/>
      <c r="Z127" s="234"/>
      <c r="AA127" s="235"/>
      <c r="AB127" s="246"/>
      <c r="AC127" s="234"/>
      <c r="AD127" s="234"/>
      <c r="AE127" s="234"/>
      <c r="AF127" s="234"/>
      <c r="AG127" s="234"/>
      <c r="AH127" s="234"/>
      <c r="AI127" s="235"/>
      <c r="AJ127" s="246"/>
      <c r="AK127" s="234"/>
      <c r="AL127" s="234"/>
      <c r="AM127" s="234"/>
      <c r="AN127" s="246"/>
      <c r="AO127" s="235"/>
      <c r="AP127" s="289"/>
      <c r="AQ127" s="235"/>
      <c r="AR127" s="246"/>
      <c r="AS127" s="234"/>
      <c r="AT127" s="234"/>
      <c r="AU127" s="234"/>
      <c r="AV127" s="234"/>
      <c r="AW127" s="234"/>
      <c r="AX127" s="234"/>
      <c r="AY127" s="234"/>
      <c r="AZ127" s="234"/>
      <c r="BA127" s="273"/>
      <c r="BB127" s="273"/>
      <c r="BC127" s="234"/>
      <c r="BD127" s="276"/>
      <c r="BE127" s="279"/>
    </row>
    <row r="130" spans="1:1" x14ac:dyDescent="0.25">
      <c r="A130" t="s">
        <v>881</v>
      </c>
    </row>
  </sheetData>
  <mergeCells count="11">
    <mergeCell ref="A3:W3"/>
    <mergeCell ref="AR5:BC5"/>
    <mergeCell ref="E5:G5"/>
    <mergeCell ref="Y5:AA5"/>
    <mergeCell ref="AB5:AI5"/>
    <mergeCell ref="AJ5:AM5"/>
    <mergeCell ref="AN5:AO5"/>
    <mergeCell ref="H5:X5"/>
    <mergeCell ref="AP5:AQ5"/>
    <mergeCell ref="A5:D5"/>
    <mergeCell ref="AR4:BC4"/>
  </mergeCells>
  <phoneticPr fontId="4" type="noConversion"/>
  <hyperlinks>
    <hyperlink ref="A44" r:id="rId1" xr:uid="{8185716C-C163-4973-B749-4480A45291ED}"/>
    <hyperlink ref="B15" r:id="rId2" xr:uid="{AD231624-AED1-41E7-B895-3212A33D156E}"/>
    <hyperlink ref="B79" r:id="rId3" xr:uid="{13DA8BA6-F545-4B1E-AF4F-03B40B413F46}"/>
    <hyperlink ref="B24" r:id="rId4" xr:uid="{8125608C-1F56-4F29-8573-7816093F8590}"/>
    <hyperlink ref="B38" r:id="rId5" xr:uid="{9DBE6391-C559-4C45-96D8-8E7E1A172E3D}"/>
    <hyperlink ref="B80" r:id="rId6" xr:uid="{EFCF26AA-3683-488A-836F-6D5936556A3F}"/>
    <hyperlink ref="B102" r:id="rId7" xr:uid="{D765D51D-9183-4B1B-826B-8B11DC017708}"/>
    <hyperlink ref="B109" r:id="rId8" xr:uid="{151ED7F3-D145-46AC-9E81-87B5616D28D9}"/>
    <hyperlink ref="B12" r:id="rId9" xr:uid="{86C61DA6-66B5-46A0-843F-C68B8C311346}"/>
    <hyperlink ref="B72" r:id="rId10" xr:uid="{776309F2-CC1A-4319-886B-DB55A36B3454}"/>
    <hyperlink ref="B70" r:id="rId11" xr:uid="{E5E809B7-F8D5-4E5A-B8DF-BE50EB78AC23}"/>
    <hyperlink ref="B10" r:id="rId12" xr:uid="{6FF4313E-719E-4895-88FC-0E8B49933837}"/>
    <hyperlink ref="B7" r:id="rId13" xr:uid="{8FAD60BC-9672-4924-A695-C0EE998BC6C5}"/>
    <hyperlink ref="B9" r:id="rId14" xr:uid="{473CE881-3FC8-465B-AB6C-156749572AAC}"/>
    <hyperlink ref="B13" r:id="rId15" xr:uid="{7B7AD778-A46B-4C13-AAC0-5D409D67E4CE}"/>
    <hyperlink ref="B17" r:id="rId16" xr:uid="{BA9C8CCA-F326-47B8-BD1A-70423BA840C0}"/>
    <hyperlink ref="B18" r:id="rId17" xr:uid="{8DC9ACB4-E927-4559-9F49-0EC77C76E778}"/>
    <hyperlink ref="B19" r:id="rId18" xr:uid="{F18397A6-A461-46A2-9EF4-EC215B023A14}"/>
    <hyperlink ref="B20" r:id="rId19" xr:uid="{EE4D2BE7-84A9-453D-8E32-E6C6B3A53BBF}"/>
    <hyperlink ref="B25" r:id="rId20" xr:uid="{DCDE514C-E525-40A1-946C-D25465565A7A}"/>
    <hyperlink ref="B28" r:id="rId21" xr:uid="{0DE01F41-A755-4E7C-AB1F-A87F69F409E5}"/>
    <hyperlink ref="B29" r:id="rId22" xr:uid="{F9361078-DEF3-41B1-AC99-711435267972}"/>
    <hyperlink ref="B36" r:id="rId23" xr:uid="{1636178D-5957-4F04-9983-F378B09B2623}"/>
    <hyperlink ref="B43" r:id="rId24" xr:uid="{091F0DBB-541E-44A8-BA84-7F95BC71D02F}"/>
    <hyperlink ref="B44" r:id="rId25" xr:uid="{ECA07C34-3B17-412A-AAA5-338976BE89F6}"/>
    <hyperlink ref="B45" r:id="rId26" xr:uid="{BD973F62-C16B-490B-BCE2-E43B5DD0BBB3}"/>
    <hyperlink ref="B46" r:id="rId27" xr:uid="{B3F0F7B1-43C2-4604-8828-28F1C7B7BC98}"/>
    <hyperlink ref="B14" r:id="rId28" xr:uid="{14C5C8C4-F2C2-46A0-84A4-0CD943170119}"/>
    <hyperlink ref="B16" r:id="rId29" xr:uid="{C0665DAC-04D7-4CF1-BA94-593658BF64E0}"/>
    <hyperlink ref="B40" r:id="rId30" xr:uid="{930C40F8-5193-44A1-A6DF-B430CA7476A5}"/>
    <hyperlink ref="B39" r:id="rId31" xr:uid="{1D158FFE-47A2-4E51-818E-5D65DAA659FC}"/>
    <hyperlink ref="B49" r:id="rId32" xr:uid="{4E07D1E4-66D1-4AB1-9B7D-D944717F8DF6}"/>
    <hyperlink ref="B51" r:id="rId33" xr:uid="{D10FB809-1C8D-4955-8B17-A37D5B6AD5F1}"/>
    <hyperlink ref="B92" r:id="rId34" xr:uid="{2A6A2CD0-F2AC-4DA8-80D2-F990884CAC4D}"/>
    <hyperlink ref="B105" r:id="rId35" xr:uid="{30FE10DE-1E2B-414A-9C5E-F00F54CF4D0B}"/>
    <hyperlink ref="B97" r:id="rId36" xr:uid="{951108F4-08F7-4522-9C71-F697FCDE6456}"/>
    <hyperlink ref="B111" r:id="rId37" xr:uid="{2F6E5ECA-37FE-498D-9BF3-C7B17280300E}"/>
    <hyperlink ref="B21" r:id="rId38" xr:uid="{D4880554-370D-474B-9CA5-AA079482D0A2}"/>
    <hyperlink ref="B22" r:id="rId39" xr:uid="{EBDA470A-4002-4DD4-963B-C0531313EFEC}"/>
    <hyperlink ref="B23" r:id="rId40" xr:uid="{1F50B6BF-E3FB-4786-94A4-6D52FC186B36}"/>
    <hyperlink ref="B26" r:id="rId41" xr:uid="{F9AA7EBA-2C3A-422F-89B3-BCDF4673D411}"/>
    <hyperlink ref="B27" r:id="rId42" xr:uid="{2C790BCA-EC17-4747-9637-F5CBDDBF869B}"/>
    <hyperlink ref="B30" r:id="rId43" xr:uid="{736946BB-C887-4C16-8EBD-6737ED5AF2F7}"/>
    <hyperlink ref="B33" r:id="rId44" xr:uid="{7A78E8E9-F597-48C1-B797-7281E0AF7CDA}"/>
    <hyperlink ref="B34" r:id="rId45" xr:uid="{3913DDBD-BF9C-4B86-8D5F-C73B02682F0D}"/>
    <hyperlink ref="B35" r:id="rId46" xr:uid="{09827D5A-AF67-4D6B-8363-AB8E6A4E413D}"/>
    <hyperlink ref="B37" r:id="rId47" xr:uid="{A6787481-056C-447D-870E-76D9754F162A}"/>
    <hyperlink ref="B42" r:id="rId48" xr:uid="{07E07A74-154C-4726-A4E6-4B90372BD872}"/>
    <hyperlink ref="B50" r:id="rId49" xr:uid="{3C513A7B-CCC8-4573-8B81-7EE00806BD3B}"/>
    <hyperlink ref="B52" r:id="rId50" xr:uid="{97211269-C1EE-414D-832A-87B8167989AA}"/>
    <hyperlink ref="B8" r:id="rId51" xr:uid="{C213764B-8F97-4774-AD83-2CCC37D66971}"/>
    <hyperlink ref="B56" r:id="rId52" xr:uid="{77984715-BE45-47FD-980C-4358067A336B}"/>
    <hyperlink ref="B57" r:id="rId53" xr:uid="{5714C45A-65AE-4AA1-8EB6-9BD8E95F6C60}"/>
    <hyperlink ref="B58" r:id="rId54" xr:uid="{FA5F52BC-69FD-418F-B39B-A4D7322866DE}"/>
    <hyperlink ref="B59" r:id="rId55" xr:uid="{473E2BDB-525A-4B5F-AD85-7F35F4940F52}"/>
    <hyperlink ref="B63" r:id="rId56" xr:uid="{1A53CA8A-7D55-458B-AFEC-B8917A563987}"/>
    <hyperlink ref="B64" r:id="rId57" xr:uid="{EAE2F6C8-63F7-4EEB-8E4B-74A96D0B65D3}"/>
    <hyperlink ref="B69" r:id="rId58" xr:uid="{EEC1B20A-D930-4240-8A61-4AB5E5C90370}"/>
    <hyperlink ref="B73" r:id="rId59" xr:uid="{3468A117-1D16-4616-8A76-FC6D5AE879B9}"/>
    <hyperlink ref="B74" r:id="rId60" xr:uid="{FFE13D21-D937-4748-B80D-51750517E29D}"/>
    <hyperlink ref="B75" r:id="rId61" xr:uid="{34250B1E-2B23-4D40-B619-EC5EA4B6A565}"/>
    <hyperlink ref="B77" r:id="rId62" xr:uid="{2FBB7289-7801-4A53-A976-334FB40020CE}"/>
    <hyperlink ref="B78" r:id="rId63" xr:uid="{A4FD0FA1-8655-4053-BB0D-93350471592A}"/>
    <hyperlink ref="B93" r:id="rId64" xr:uid="{2E35FFCD-9D89-4607-AA93-9D0AF42513C8}"/>
    <hyperlink ref="B94" r:id="rId65" xr:uid="{72C9A76F-79C9-48C8-B838-54FEB5329E1A}"/>
    <hyperlink ref="B95" r:id="rId66" xr:uid="{C27047C1-4A15-4E72-AD66-16E01E1811D9}"/>
    <hyperlink ref="B112" r:id="rId67" xr:uid="{36F3738B-8EE6-4E75-85DE-A50F2F689B90}"/>
    <hyperlink ref="B53" r:id="rId68" xr:uid="{652F4375-8832-44EC-AB1F-55F71C14923F}"/>
    <hyperlink ref="B54" r:id="rId69" xr:uid="{44FA3F01-2A07-484B-BB2D-8E50F187DADA}"/>
    <hyperlink ref="B55" r:id="rId70" xr:uid="{9F0FE280-D7FC-4908-96FF-C487C577388B}"/>
    <hyperlink ref="B62" r:id="rId71" xr:uid="{4C32D529-3F2B-480D-BDFE-271FCAE29A6E}"/>
    <hyperlink ref="B68" r:id="rId72" xr:uid="{6AA9120D-2EEF-47A0-B730-EB3502B06ED0}"/>
    <hyperlink ref="B71" r:id="rId73" xr:uid="{35E4615D-A1DC-4DB9-83FA-83568714AD74}"/>
    <hyperlink ref="B81" r:id="rId74" xr:uid="{A5716980-22FD-462F-9496-88F50C9DB78B}"/>
    <hyperlink ref="B82" r:id="rId75" xr:uid="{A73AB804-D658-4544-8639-A90208EF3645}"/>
    <hyperlink ref="B83" r:id="rId76" xr:uid="{CC31A0B7-9686-4AB7-8292-98A4FAEFD0E7}"/>
    <hyperlink ref="B41" r:id="rId77" xr:uid="{7D909BC2-79BC-432A-B57D-54BAF159F819}"/>
    <hyperlink ref="BE55" r:id="rId78" display="https://biobank.ndph.ox.ac.uk/ukb/label.cgi?id=263 (SNP)" xr:uid="{F13B4844-D489-4F68-AAEF-BC7679266CAE}"/>
    <hyperlink ref="B98:B101" r:id="rId79" display="https://eadb.eu/data/" xr:uid="{D9F4F5E3-4C3F-462D-8D08-109425B5A825}"/>
    <hyperlink ref="B103" r:id="rId80" xr:uid="{F200F977-1DB8-42A1-9216-3A7B2863AF33}"/>
    <hyperlink ref="B106:B108" r:id="rId81" display="https://eadb.eu/data/" xr:uid="{50BBF8E9-F880-449D-B628-296BE0111C57}"/>
    <hyperlink ref="B110" r:id="rId82" xr:uid="{DC3BA094-8D1C-4406-A2A4-21E011B3A88F}"/>
    <hyperlink ref="B96" r:id="rId83" xr:uid="{535EDD67-7CEC-44FB-8CD0-22EE84422C3B}"/>
    <hyperlink ref="B104" r:id="rId84" xr:uid="{E54E450D-5231-4DDC-A42A-37E34F68C95F}"/>
    <hyperlink ref="B114" r:id="rId85" xr:uid="{EF2B127E-A51C-49F8-8774-E5FCA5DDC1D4}"/>
    <hyperlink ref="B115" r:id="rId86" xr:uid="{7CEBE6A0-6FC6-4530-88D7-C4240B3DC2DD}"/>
    <hyperlink ref="B116" r:id="rId87" xr:uid="{027213C2-462D-4FD3-A011-712E4A0BDA89}"/>
    <hyperlink ref="B117" r:id="rId88" xr:uid="{C8648D69-57B4-413F-8033-8ECECAEEBE33}"/>
    <hyperlink ref="B84" r:id="rId89" xr:uid="{B4AE85C6-62BE-4694-A94D-2C61436AD1DC}"/>
    <hyperlink ref="B85" r:id="rId90" xr:uid="{337C671E-6708-42DA-8765-06066F8F7505}"/>
    <hyperlink ref="B86" r:id="rId91" xr:uid="{B0CCBC6B-4CEB-4207-8552-F141A53B8C28}"/>
    <hyperlink ref="B87" r:id="rId92" xr:uid="{D132B8DB-F8C8-4333-B782-65D6F700CB76}"/>
    <hyperlink ref="B88" r:id="rId93" xr:uid="{56B20BB1-E2B9-4AD2-9E54-B793C2E49E84}"/>
    <hyperlink ref="B89" r:id="rId94" xr:uid="{475F867A-13ED-47B7-AF38-C45F72B7A647}"/>
    <hyperlink ref="B90" r:id="rId95" xr:uid="{41BB9606-A072-4B26-B007-C0BFCAA8B650}"/>
    <hyperlink ref="B31" r:id="rId96" xr:uid="{AC958BBB-7FEF-4BD4-9946-A297EF7EA260}"/>
    <hyperlink ref="B32" r:id="rId97" xr:uid="{D8BE14C9-80F2-414A-836F-7A8B781F05AE}"/>
    <hyperlink ref="B91" r:id="rId98" xr:uid="{EA2ED6D4-0C66-4A20-B0AA-E190DD4F0760}"/>
    <hyperlink ref="B60" r:id="rId99" xr:uid="{D6CCB0FB-EC39-4170-B8CF-63948F534BFE}"/>
    <hyperlink ref="B61" r:id="rId100" xr:uid="{CED48995-2B3D-486A-A41B-3A3B6401A977}"/>
    <hyperlink ref="B65" r:id="rId101" xr:uid="{F410B263-2245-427E-AA9A-C984885BD2F4}"/>
    <hyperlink ref="B66" r:id="rId102" xr:uid="{CCD11F4C-82F5-476C-BD23-83998B5554A0}"/>
    <hyperlink ref="B67" r:id="rId103" xr:uid="{70701499-4764-4CB3-8A8E-E5A7E9C1BCE9}"/>
  </hyperlinks>
  <pageMargins left="0.7" right="0.7" top="0.75" bottom="0.75" header="0.3" footer="0.3"/>
  <tableParts count="1">
    <tablePart r:id="rId10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D4E6-34FE-4E10-B5C5-C4F388928828}">
  <dimension ref="A2:AL59"/>
  <sheetViews>
    <sheetView zoomScale="87" zoomScaleNormal="130" workbookViewId="0">
      <selection activeCell="A3" sqref="A3:AL3"/>
    </sheetView>
  </sheetViews>
  <sheetFormatPr defaultRowHeight="15" x14ac:dyDescent="0.25"/>
  <cols>
    <col min="3" max="38" width="13" bestFit="1" customWidth="1"/>
  </cols>
  <sheetData>
    <row r="2" spans="1:38" x14ac:dyDescent="0.25">
      <c r="A2" s="41" t="s">
        <v>1054</v>
      </c>
    </row>
    <row r="3" spans="1:38" ht="33" customHeight="1" x14ac:dyDescent="0.25">
      <c r="A3" s="171" t="s">
        <v>1055</v>
      </c>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row>
    <row r="5" spans="1:38" x14ac:dyDescent="0.25">
      <c r="A5" s="9" t="s">
        <v>259</v>
      </c>
      <c r="B5" s="9" t="s">
        <v>1</v>
      </c>
      <c r="C5" s="5" t="s">
        <v>198</v>
      </c>
      <c r="D5" s="5" t="s">
        <v>200</v>
      </c>
      <c r="E5" s="5" t="s">
        <v>202</v>
      </c>
      <c r="F5" s="5" t="s">
        <v>204</v>
      </c>
      <c r="G5" s="5" t="s">
        <v>206</v>
      </c>
      <c r="H5" s="5" t="s">
        <v>208</v>
      </c>
      <c r="I5" s="5" t="s">
        <v>209</v>
      </c>
      <c r="J5" s="5" t="s">
        <v>211</v>
      </c>
      <c r="K5" s="5" t="s">
        <v>213</v>
      </c>
      <c r="L5" s="5" t="s">
        <v>215</v>
      </c>
      <c r="M5" s="5" t="s">
        <v>217</v>
      </c>
      <c r="N5" s="5" t="s">
        <v>219</v>
      </c>
      <c r="O5" s="5" t="s">
        <v>220</v>
      </c>
      <c r="P5" s="5" t="s">
        <v>221</v>
      </c>
      <c r="Q5" s="5" t="s">
        <v>223</v>
      </c>
      <c r="R5" s="5" t="s">
        <v>225</v>
      </c>
      <c r="S5" s="5" t="s">
        <v>228</v>
      </c>
      <c r="T5" s="5" t="s">
        <v>231</v>
      </c>
      <c r="U5" s="5" t="s">
        <v>233</v>
      </c>
      <c r="V5" s="5" t="s">
        <v>234</v>
      </c>
      <c r="W5" s="5" t="s">
        <v>235</v>
      </c>
      <c r="X5" s="5" t="s">
        <v>236</v>
      </c>
      <c r="Y5" s="5" t="s">
        <v>237</v>
      </c>
      <c r="Z5" s="5" t="s">
        <v>238</v>
      </c>
      <c r="AA5" s="5" t="s">
        <v>239</v>
      </c>
      <c r="AB5" s="5" t="s">
        <v>240</v>
      </c>
      <c r="AC5" s="5" t="s">
        <v>241</v>
      </c>
      <c r="AD5" s="5" t="s">
        <v>242</v>
      </c>
      <c r="AE5" s="5" t="s">
        <v>244</v>
      </c>
      <c r="AF5" s="5" t="s">
        <v>245</v>
      </c>
      <c r="AG5" s="5" t="s">
        <v>246</v>
      </c>
      <c r="AH5" s="5" t="s">
        <v>247</v>
      </c>
      <c r="AI5" s="5" t="s">
        <v>248</v>
      </c>
      <c r="AJ5" s="5" t="s">
        <v>250</v>
      </c>
      <c r="AK5" s="5" t="s">
        <v>251</v>
      </c>
      <c r="AL5" s="5" t="s">
        <v>252</v>
      </c>
    </row>
    <row r="6" spans="1:38" x14ac:dyDescent="0.25">
      <c r="A6" s="9" t="s">
        <v>106</v>
      </c>
      <c r="B6" s="2" t="s">
        <v>159</v>
      </c>
      <c r="C6" s="5" t="s">
        <v>25</v>
      </c>
      <c r="D6" s="5"/>
      <c r="E6" s="5"/>
      <c r="F6" s="5"/>
      <c r="G6" s="5"/>
      <c r="H6" s="5" t="s">
        <v>182</v>
      </c>
      <c r="I6" s="5"/>
      <c r="J6" s="5"/>
      <c r="K6" s="5"/>
      <c r="L6" s="5"/>
      <c r="M6" s="5"/>
      <c r="N6" s="5"/>
      <c r="O6" s="5"/>
      <c r="P6" s="5"/>
      <c r="Q6" s="5"/>
      <c r="R6" s="5"/>
      <c r="S6" s="5" t="s">
        <v>182</v>
      </c>
      <c r="T6" s="5"/>
      <c r="U6" s="5"/>
      <c r="V6" s="5"/>
      <c r="W6" s="5"/>
      <c r="X6" s="5"/>
      <c r="Y6" s="5"/>
      <c r="Z6" s="5"/>
      <c r="AA6" s="5"/>
      <c r="AB6" s="5"/>
      <c r="AC6" s="5"/>
      <c r="AD6" s="5"/>
      <c r="AE6" s="5"/>
      <c r="AF6" s="5"/>
      <c r="AG6" s="5"/>
      <c r="AH6" s="5"/>
      <c r="AI6" s="5"/>
      <c r="AJ6" s="5"/>
      <c r="AK6" s="5"/>
      <c r="AL6" s="5" t="s">
        <v>182</v>
      </c>
    </row>
    <row r="7" spans="1:38" x14ac:dyDescent="0.25">
      <c r="A7" s="9" t="s">
        <v>261</v>
      </c>
      <c r="B7" s="2" t="s">
        <v>160</v>
      </c>
      <c r="C7" s="5" t="s">
        <v>25</v>
      </c>
      <c r="D7" s="5"/>
      <c r="E7" s="5"/>
      <c r="F7" s="5"/>
      <c r="G7" s="5"/>
      <c r="H7" s="5" t="s">
        <v>182</v>
      </c>
      <c r="I7" s="5"/>
      <c r="J7" s="5"/>
      <c r="K7" s="5"/>
      <c r="L7" s="5"/>
      <c r="M7" s="5"/>
      <c r="N7" s="5"/>
      <c r="O7" s="5"/>
      <c r="P7" s="5"/>
      <c r="Q7" s="5"/>
      <c r="R7" s="5"/>
      <c r="S7" s="5" t="s">
        <v>182</v>
      </c>
      <c r="T7" s="5" t="s">
        <v>182</v>
      </c>
      <c r="U7" s="5"/>
      <c r="V7" s="5"/>
      <c r="W7" s="5"/>
      <c r="X7" s="5"/>
      <c r="Y7" s="5"/>
      <c r="Z7" s="5"/>
      <c r="AA7" s="5"/>
      <c r="AB7" s="5"/>
      <c r="AC7" s="5"/>
      <c r="AD7" s="5"/>
      <c r="AE7" s="5"/>
      <c r="AF7" s="5"/>
      <c r="AG7" s="5"/>
      <c r="AH7" s="5"/>
      <c r="AI7" s="5"/>
      <c r="AJ7" s="5"/>
      <c r="AK7" s="5"/>
      <c r="AL7" s="5" t="s">
        <v>182</v>
      </c>
    </row>
    <row r="8" spans="1:38" x14ac:dyDescent="0.25">
      <c r="A8" s="9" t="s">
        <v>108</v>
      </c>
      <c r="B8" s="2" t="s">
        <v>161</v>
      </c>
      <c r="C8" s="5" t="s">
        <v>182</v>
      </c>
      <c r="D8" s="5" t="s">
        <v>182</v>
      </c>
      <c r="E8" s="5" t="s">
        <v>182</v>
      </c>
      <c r="F8" s="5" t="s">
        <v>182</v>
      </c>
      <c r="G8" s="5"/>
      <c r="H8" s="5"/>
      <c r="I8" s="5" t="s">
        <v>182</v>
      </c>
      <c r="J8" s="5" t="s">
        <v>182</v>
      </c>
      <c r="K8" s="5" t="s">
        <v>182</v>
      </c>
      <c r="L8" s="5" t="s">
        <v>182</v>
      </c>
      <c r="M8" s="5"/>
      <c r="N8" s="5"/>
      <c r="O8" s="5"/>
      <c r="P8" s="5"/>
      <c r="Q8" s="5"/>
      <c r="R8" s="5"/>
      <c r="S8" s="5" t="s">
        <v>182</v>
      </c>
      <c r="T8" s="5"/>
      <c r="U8" s="5"/>
      <c r="V8" s="5"/>
      <c r="W8" s="5"/>
      <c r="X8" s="5"/>
      <c r="Y8" s="5" t="s">
        <v>182</v>
      </c>
      <c r="Z8" s="5" t="s">
        <v>182</v>
      </c>
      <c r="AA8" s="5" t="s">
        <v>182</v>
      </c>
      <c r="AB8" s="5" t="s">
        <v>182</v>
      </c>
      <c r="AC8" s="5" t="s">
        <v>182</v>
      </c>
      <c r="AD8" s="5"/>
      <c r="AE8" s="5" t="s">
        <v>182</v>
      </c>
      <c r="AF8" s="5" t="s">
        <v>182</v>
      </c>
      <c r="AG8" s="5" t="s">
        <v>182</v>
      </c>
      <c r="AH8" s="5"/>
      <c r="AI8" s="5"/>
      <c r="AJ8" s="5"/>
      <c r="AK8" s="5"/>
      <c r="AL8" s="5" t="s">
        <v>182</v>
      </c>
    </row>
    <row r="9" spans="1:38" x14ac:dyDescent="0.25">
      <c r="A9" s="9" t="s">
        <v>109</v>
      </c>
      <c r="B9" s="2" t="s">
        <v>54</v>
      </c>
      <c r="C9" s="5" t="s">
        <v>25</v>
      </c>
      <c r="D9" s="5"/>
      <c r="E9" s="5"/>
      <c r="F9" s="5"/>
      <c r="G9" s="5"/>
      <c r="H9" s="5" t="s">
        <v>182</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t="s">
        <v>182</v>
      </c>
    </row>
    <row r="10" spans="1:38" x14ac:dyDescent="0.25">
      <c r="A10" s="9" t="s">
        <v>110</v>
      </c>
      <c r="B10" s="2" t="s">
        <v>54</v>
      </c>
      <c r="C10" s="5" t="s">
        <v>25</v>
      </c>
      <c r="D10" s="5"/>
      <c r="E10" s="5"/>
      <c r="F10" s="5"/>
      <c r="G10" s="5"/>
      <c r="H10" s="5" t="s">
        <v>182</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spans="1:38" x14ac:dyDescent="0.25">
      <c r="A11" s="9" t="s">
        <v>111</v>
      </c>
      <c r="B11" s="2" t="s">
        <v>54</v>
      </c>
      <c r="C11" s="5" t="s">
        <v>25</v>
      </c>
      <c r="D11" s="5"/>
      <c r="E11" s="5"/>
      <c r="F11" s="5"/>
      <c r="G11" s="5"/>
      <c r="H11" s="5" t="s">
        <v>182</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x14ac:dyDescent="0.25">
      <c r="A12" s="9" t="s">
        <v>112</v>
      </c>
      <c r="B12" s="2" t="s">
        <v>54</v>
      </c>
      <c r="C12" s="5" t="s">
        <v>25</v>
      </c>
      <c r="D12" s="5"/>
      <c r="E12" s="5"/>
      <c r="F12" s="5"/>
      <c r="G12" s="5"/>
      <c r="H12" s="5" t="s">
        <v>182</v>
      </c>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spans="1:38" x14ac:dyDescent="0.25">
      <c r="A13" s="9" t="s">
        <v>113</v>
      </c>
      <c r="B13" s="2" t="s">
        <v>54</v>
      </c>
      <c r="C13" s="5" t="s">
        <v>25</v>
      </c>
      <c r="D13" s="5"/>
      <c r="E13" s="5"/>
      <c r="F13" s="5"/>
      <c r="G13" s="5"/>
      <c r="H13" s="5" t="s">
        <v>182</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spans="1:38" x14ac:dyDescent="0.25">
      <c r="A14" s="9" t="s">
        <v>114</v>
      </c>
      <c r="B14" s="2" t="s">
        <v>54</v>
      </c>
      <c r="C14" s="5" t="s">
        <v>25</v>
      </c>
      <c r="D14" s="5"/>
      <c r="E14" s="5"/>
      <c r="F14" s="5"/>
      <c r="G14" s="5"/>
      <c r="H14" s="5" t="s">
        <v>182</v>
      </c>
      <c r="I14" s="5"/>
      <c r="J14" s="5"/>
      <c r="K14" s="5"/>
      <c r="L14" s="5"/>
      <c r="M14" s="5"/>
      <c r="N14" s="5"/>
      <c r="O14" s="5"/>
      <c r="P14" s="5"/>
      <c r="Q14" s="5"/>
      <c r="R14" s="5"/>
      <c r="S14" s="5" t="s">
        <v>182</v>
      </c>
      <c r="T14" s="5"/>
      <c r="U14" s="5"/>
      <c r="V14" s="5"/>
      <c r="W14" s="5"/>
      <c r="X14" s="5"/>
      <c r="Y14" s="5"/>
      <c r="Z14" s="5"/>
      <c r="AA14" s="5"/>
      <c r="AB14" s="5"/>
      <c r="AC14" s="5"/>
      <c r="AD14" s="5"/>
      <c r="AE14" s="5"/>
      <c r="AF14" s="5"/>
      <c r="AG14" s="5"/>
      <c r="AH14" s="5"/>
      <c r="AI14" s="5"/>
      <c r="AJ14" s="5"/>
      <c r="AK14" s="5"/>
      <c r="AL14" s="5" t="s">
        <v>182</v>
      </c>
    </row>
    <row r="15" spans="1:38" x14ac:dyDescent="0.25">
      <c r="A15" s="9" t="s">
        <v>115</v>
      </c>
      <c r="B15" s="2" t="s">
        <v>162</v>
      </c>
      <c r="C15" s="5" t="s">
        <v>25</v>
      </c>
      <c r="D15" s="5"/>
      <c r="E15" s="5"/>
      <c r="F15" s="5"/>
      <c r="G15" s="5"/>
      <c r="H15" s="5" t="s">
        <v>182</v>
      </c>
      <c r="I15" s="5"/>
      <c r="J15" s="5"/>
      <c r="K15" s="5"/>
      <c r="L15" s="5"/>
      <c r="M15" s="5"/>
      <c r="N15" s="5"/>
      <c r="O15" s="5"/>
      <c r="P15" s="5"/>
      <c r="Q15" s="5"/>
      <c r="R15" s="5"/>
      <c r="S15" s="5" t="s">
        <v>182</v>
      </c>
      <c r="T15" s="5"/>
      <c r="U15" s="5"/>
      <c r="V15" s="5"/>
      <c r="W15" s="5"/>
      <c r="X15" s="5"/>
      <c r="Y15" s="5"/>
      <c r="Z15" s="5"/>
      <c r="AA15" s="5"/>
      <c r="AB15" s="5"/>
      <c r="AC15" s="5"/>
      <c r="AD15" s="5"/>
      <c r="AE15" s="5"/>
      <c r="AF15" s="5"/>
      <c r="AG15" s="5"/>
      <c r="AH15" s="5"/>
      <c r="AI15" s="5"/>
      <c r="AJ15" s="5"/>
      <c r="AK15" s="5"/>
      <c r="AL15" s="5" t="s">
        <v>182</v>
      </c>
    </row>
    <row r="16" spans="1:38" x14ac:dyDescent="0.25">
      <c r="A16" s="9" t="s">
        <v>116</v>
      </c>
      <c r="B16" s="2" t="s">
        <v>54</v>
      </c>
      <c r="C16" s="5" t="s">
        <v>25</v>
      </c>
      <c r="D16" s="5"/>
      <c r="E16" s="5"/>
      <c r="F16" s="5"/>
      <c r="G16" s="5"/>
      <c r="H16" s="5" t="s">
        <v>182</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spans="1:38" x14ac:dyDescent="0.25">
      <c r="A17" s="9" t="s">
        <v>117</v>
      </c>
      <c r="B17" s="2" t="s">
        <v>54</v>
      </c>
      <c r="C17" s="5" t="s">
        <v>25</v>
      </c>
      <c r="D17" s="5"/>
      <c r="E17" s="5"/>
      <c r="F17" s="5"/>
      <c r="G17" s="5"/>
      <c r="H17" s="5" t="s">
        <v>182</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spans="1:38" x14ac:dyDescent="0.25">
      <c r="A18" s="9" t="s">
        <v>118</v>
      </c>
      <c r="B18" s="2" t="s">
        <v>94</v>
      </c>
      <c r="C18" s="5" t="s">
        <v>25</v>
      </c>
      <c r="D18" s="5"/>
      <c r="E18" s="5"/>
      <c r="F18" s="5"/>
      <c r="G18" s="5"/>
      <c r="H18" s="5" t="s">
        <v>182</v>
      </c>
      <c r="I18" s="5"/>
      <c r="J18" s="5"/>
      <c r="K18" s="5"/>
      <c r="L18" s="5"/>
      <c r="M18" s="5"/>
      <c r="N18" s="5"/>
      <c r="O18" s="5"/>
      <c r="P18" s="5"/>
      <c r="Q18" s="5"/>
      <c r="R18" s="5"/>
      <c r="S18" s="5" t="s">
        <v>182</v>
      </c>
      <c r="T18" s="5"/>
      <c r="U18" s="5"/>
      <c r="V18" s="5"/>
      <c r="W18" s="5"/>
      <c r="X18" s="5"/>
      <c r="Y18" s="5"/>
      <c r="Z18" s="5"/>
      <c r="AA18" s="5"/>
      <c r="AB18" s="5"/>
      <c r="AC18" s="5"/>
      <c r="AD18" s="5"/>
      <c r="AE18" s="5"/>
      <c r="AF18" s="5"/>
      <c r="AG18" s="5"/>
      <c r="AH18" s="5"/>
      <c r="AI18" s="5"/>
      <c r="AJ18" s="5"/>
      <c r="AK18" s="5"/>
      <c r="AL18" s="5" t="s">
        <v>182</v>
      </c>
    </row>
    <row r="19" spans="1:38" x14ac:dyDescent="0.25">
      <c r="A19" s="9" t="s">
        <v>119</v>
      </c>
      <c r="B19" s="2" t="s">
        <v>54</v>
      </c>
      <c r="C19" s="5" t="s">
        <v>25</v>
      </c>
      <c r="D19" s="5"/>
      <c r="E19" s="5"/>
      <c r="F19" s="5"/>
      <c r="G19" s="5"/>
      <c r="H19" s="5" t="s">
        <v>182</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spans="1:38" x14ac:dyDescent="0.25">
      <c r="A20" s="9" t="s">
        <v>120</v>
      </c>
      <c r="B20" s="2" t="s">
        <v>54</v>
      </c>
      <c r="C20" s="5" t="s">
        <v>25</v>
      </c>
      <c r="D20" s="5"/>
      <c r="E20" s="5"/>
      <c r="F20" s="5"/>
      <c r="G20" s="5"/>
      <c r="H20" s="5" t="s">
        <v>182</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spans="1:38" x14ac:dyDescent="0.25">
      <c r="A21" s="9" t="s">
        <v>121</v>
      </c>
      <c r="B21" s="2" t="s">
        <v>54</v>
      </c>
      <c r="C21" s="5" t="s">
        <v>25</v>
      </c>
      <c r="D21" s="5"/>
      <c r="E21" s="5"/>
      <c r="F21" s="5"/>
      <c r="G21" s="5"/>
      <c r="H21" s="5" t="s">
        <v>182</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spans="1:38" x14ac:dyDescent="0.25">
      <c r="A22" s="9" t="s">
        <v>122</v>
      </c>
      <c r="B22" s="2" t="s">
        <v>54</v>
      </c>
      <c r="C22" s="5" t="s">
        <v>25</v>
      </c>
      <c r="D22" s="5"/>
      <c r="E22" s="5"/>
      <c r="F22" s="5"/>
      <c r="G22" s="5"/>
      <c r="H22" s="5" t="s">
        <v>182</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spans="1:38" x14ac:dyDescent="0.25">
      <c r="A23" s="9" t="s">
        <v>123</v>
      </c>
      <c r="B23" s="2" t="s">
        <v>163</v>
      </c>
      <c r="C23" s="5" t="s">
        <v>25</v>
      </c>
      <c r="D23" s="5"/>
      <c r="E23" s="5"/>
      <c r="F23" s="5"/>
      <c r="G23" s="5"/>
      <c r="H23" s="5" t="s">
        <v>182</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spans="1:38" x14ac:dyDescent="0.25">
      <c r="A24" s="9" t="s">
        <v>124</v>
      </c>
      <c r="B24" s="2" t="s">
        <v>54</v>
      </c>
      <c r="C24" s="5" t="s">
        <v>25</v>
      </c>
      <c r="D24" s="5"/>
      <c r="E24" s="5" t="s">
        <v>182</v>
      </c>
      <c r="F24" s="5" t="s">
        <v>182</v>
      </c>
      <c r="G24" s="5"/>
      <c r="H24" s="5" t="s">
        <v>182</v>
      </c>
      <c r="I24" s="5"/>
      <c r="J24" s="5"/>
      <c r="K24" s="5"/>
      <c r="L24" s="5"/>
      <c r="M24" s="5"/>
      <c r="N24" s="5"/>
      <c r="O24" s="5"/>
      <c r="P24" s="5"/>
      <c r="Q24" s="5"/>
      <c r="R24" s="5"/>
      <c r="S24" s="5" t="s">
        <v>182</v>
      </c>
      <c r="T24" s="5"/>
      <c r="U24" s="5"/>
      <c r="V24" s="5"/>
      <c r="W24" s="5"/>
      <c r="X24" s="5"/>
      <c r="Y24" s="5"/>
      <c r="Z24" s="5"/>
      <c r="AA24" s="5"/>
      <c r="AB24" s="5"/>
      <c r="AC24" s="5"/>
      <c r="AD24" s="5"/>
      <c r="AE24" s="5"/>
      <c r="AF24" s="5"/>
      <c r="AG24" s="5"/>
      <c r="AH24" s="5"/>
      <c r="AI24" s="5"/>
      <c r="AJ24" s="5"/>
      <c r="AK24" s="5"/>
      <c r="AL24" s="5" t="s">
        <v>182</v>
      </c>
    </row>
    <row r="25" spans="1:38" x14ac:dyDescent="0.25">
      <c r="A25" s="9" t="s">
        <v>125</v>
      </c>
      <c r="B25" s="2" t="s">
        <v>54</v>
      </c>
      <c r="C25" s="5" t="s">
        <v>25</v>
      </c>
      <c r="D25" s="5"/>
      <c r="E25" s="5"/>
      <c r="F25" s="5"/>
      <c r="G25" s="5"/>
      <c r="H25" s="5" t="s">
        <v>182</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spans="1:38" x14ac:dyDescent="0.25">
      <c r="A26" s="9" t="s">
        <v>126</v>
      </c>
      <c r="B26" s="2" t="s">
        <v>164</v>
      </c>
      <c r="C26" s="5" t="s">
        <v>25</v>
      </c>
      <c r="D26" s="5"/>
      <c r="E26" s="5" t="s">
        <v>182</v>
      </c>
      <c r="F26" s="5"/>
      <c r="G26" s="5"/>
      <c r="H26" s="5" t="s">
        <v>182</v>
      </c>
      <c r="I26" s="5"/>
      <c r="J26" s="5"/>
      <c r="K26" s="5"/>
      <c r="L26" s="5"/>
      <c r="M26" s="5"/>
      <c r="N26" s="5"/>
      <c r="O26" s="5"/>
      <c r="P26" s="5"/>
      <c r="Q26" s="5"/>
      <c r="R26" s="5"/>
      <c r="S26" s="5" t="s">
        <v>182</v>
      </c>
      <c r="T26" s="5"/>
      <c r="U26" s="5"/>
      <c r="V26" s="5"/>
      <c r="W26" s="5"/>
      <c r="X26" s="5"/>
      <c r="Y26" s="5"/>
      <c r="Z26" s="5"/>
      <c r="AA26" s="5"/>
      <c r="AB26" s="5"/>
      <c r="AC26" s="5"/>
      <c r="AD26" s="5"/>
      <c r="AE26" s="5"/>
      <c r="AF26" s="5"/>
      <c r="AG26" s="5"/>
      <c r="AH26" s="5"/>
      <c r="AI26" s="5"/>
      <c r="AJ26" s="5"/>
      <c r="AK26" s="5"/>
      <c r="AL26" s="5" t="s">
        <v>182</v>
      </c>
    </row>
    <row r="27" spans="1:38" x14ac:dyDescent="0.25">
      <c r="A27" s="9" t="s">
        <v>127</v>
      </c>
      <c r="B27" s="2" t="s">
        <v>54</v>
      </c>
      <c r="C27" s="5" t="s">
        <v>25</v>
      </c>
      <c r="D27" s="5"/>
      <c r="E27" s="5"/>
      <c r="F27" s="5"/>
      <c r="G27" s="5"/>
      <c r="H27" s="5" t="s">
        <v>182</v>
      </c>
      <c r="I27" s="5"/>
      <c r="J27" s="5"/>
      <c r="K27" s="5"/>
      <c r="L27" s="5"/>
      <c r="M27" s="5"/>
      <c r="N27" s="5"/>
      <c r="O27" s="5"/>
      <c r="P27" s="5"/>
      <c r="Q27" s="5"/>
      <c r="R27" s="5"/>
      <c r="S27" s="5" t="s">
        <v>182</v>
      </c>
      <c r="T27" s="5"/>
      <c r="U27" s="5"/>
      <c r="V27" s="5"/>
      <c r="W27" s="5"/>
      <c r="X27" s="5"/>
      <c r="Y27" s="5"/>
      <c r="Z27" s="5"/>
      <c r="AA27" s="5"/>
      <c r="AB27" s="5"/>
      <c r="AC27" s="5"/>
      <c r="AD27" s="5"/>
      <c r="AE27" s="5"/>
      <c r="AF27" s="5"/>
      <c r="AG27" s="5"/>
      <c r="AH27" s="5"/>
      <c r="AI27" s="5"/>
      <c r="AJ27" s="5"/>
      <c r="AK27" s="5"/>
      <c r="AL27" s="5" t="s">
        <v>182</v>
      </c>
    </row>
    <row r="28" spans="1:38" x14ac:dyDescent="0.25">
      <c r="A28" s="9" t="s">
        <v>37</v>
      </c>
      <c r="B28" s="2" t="s">
        <v>38</v>
      </c>
      <c r="C28" s="5" t="s">
        <v>25</v>
      </c>
      <c r="D28" s="5"/>
      <c r="E28" s="5"/>
      <c r="F28" s="5"/>
      <c r="G28" s="5"/>
      <c r="H28" s="5" t="s">
        <v>182</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spans="1:38" x14ac:dyDescent="0.25">
      <c r="A29" s="9" t="s">
        <v>128</v>
      </c>
      <c r="B29" s="9" t="s">
        <v>20</v>
      </c>
      <c r="C29" s="5" t="s">
        <v>25</v>
      </c>
      <c r="D29" s="5"/>
      <c r="E29" s="5"/>
      <c r="F29" s="5"/>
      <c r="G29" s="5"/>
      <c r="H29" s="5" t="s">
        <v>182</v>
      </c>
      <c r="I29" s="5"/>
      <c r="J29" s="5"/>
      <c r="K29" s="5"/>
      <c r="L29" s="5"/>
      <c r="M29" s="5"/>
      <c r="N29" s="5"/>
      <c r="O29" s="5"/>
      <c r="P29" s="5"/>
      <c r="Q29" s="5"/>
      <c r="R29" s="5"/>
      <c r="S29" s="5" t="s">
        <v>182</v>
      </c>
      <c r="T29" s="5"/>
      <c r="U29" s="5"/>
      <c r="V29" s="5"/>
      <c r="W29" s="5"/>
      <c r="X29" s="5"/>
      <c r="Y29" s="5"/>
      <c r="Z29" s="5"/>
      <c r="AA29" s="5"/>
      <c r="AB29" s="5"/>
      <c r="AC29" s="5"/>
      <c r="AD29" s="5"/>
      <c r="AE29" s="5"/>
      <c r="AF29" s="5"/>
      <c r="AG29" s="5"/>
      <c r="AH29" s="5"/>
      <c r="AI29" s="5"/>
      <c r="AJ29" s="5"/>
      <c r="AK29" s="5"/>
      <c r="AL29" s="5" t="s">
        <v>182</v>
      </c>
    </row>
    <row r="30" spans="1:38" x14ac:dyDescent="0.25">
      <c r="A30" s="9" t="s">
        <v>129</v>
      </c>
      <c r="B30" s="2" t="s">
        <v>165</v>
      </c>
      <c r="C30" s="5" t="s">
        <v>25</v>
      </c>
      <c r="D30" s="5"/>
      <c r="E30" s="5"/>
      <c r="F30" s="5"/>
      <c r="G30" s="5"/>
      <c r="H30" s="5"/>
      <c r="I30" s="5"/>
      <c r="J30" s="5"/>
      <c r="K30" s="5"/>
      <c r="L30" s="5"/>
      <c r="M30" s="5"/>
      <c r="N30" s="5" t="s">
        <v>182</v>
      </c>
      <c r="O30" s="5"/>
      <c r="P30" s="5"/>
      <c r="Q30" s="5"/>
      <c r="R30" s="5"/>
      <c r="S30" s="5"/>
      <c r="T30" s="5"/>
      <c r="U30" s="5"/>
      <c r="V30" s="5"/>
      <c r="W30" s="5"/>
      <c r="X30" s="5"/>
      <c r="Y30" s="5"/>
      <c r="Z30" s="5"/>
      <c r="AA30" s="5"/>
      <c r="AB30" s="5"/>
      <c r="AC30" s="5"/>
      <c r="AD30" s="5"/>
      <c r="AE30" s="5"/>
      <c r="AF30" s="5"/>
      <c r="AG30" s="5"/>
      <c r="AH30" s="5"/>
      <c r="AI30" s="5"/>
      <c r="AJ30" s="5"/>
      <c r="AK30" s="5"/>
      <c r="AL30" s="5"/>
    </row>
    <row r="31" spans="1:38" x14ac:dyDescent="0.25">
      <c r="A31" s="9" t="s">
        <v>130</v>
      </c>
      <c r="B31" s="2" t="s">
        <v>54</v>
      </c>
      <c r="C31" s="5" t="s">
        <v>25</v>
      </c>
      <c r="D31" s="5"/>
      <c r="E31" s="5"/>
      <c r="F31" s="5"/>
      <c r="G31" s="5"/>
      <c r="H31" s="5" t="s">
        <v>182</v>
      </c>
      <c r="I31" s="5"/>
      <c r="J31" s="5"/>
      <c r="K31" s="5"/>
      <c r="L31" s="5"/>
      <c r="M31" s="5"/>
      <c r="N31" s="5"/>
      <c r="O31" s="5"/>
      <c r="P31" s="5"/>
      <c r="Q31" s="5"/>
      <c r="R31" s="5"/>
      <c r="S31" s="5"/>
      <c r="T31" s="5" t="s">
        <v>182</v>
      </c>
      <c r="U31" s="5"/>
      <c r="V31" s="5"/>
      <c r="W31" s="5"/>
      <c r="X31" s="5"/>
      <c r="Y31" s="5"/>
      <c r="Z31" s="5"/>
      <c r="AA31" s="5"/>
      <c r="AB31" s="5"/>
      <c r="AC31" s="5"/>
      <c r="AD31" s="5"/>
      <c r="AE31" s="5"/>
      <c r="AF31" s="5"/>
      <c r="AG31" s="5"/>
      <c r="AH31" s="5"/>
      <c r="AI31" s="5"/>
      <c r="AJ31" s="5"/>
      <c r="AK31" s="5"/>
      <c r="AL31" s="5"/>
    </row>
    <row r="32" spans="1:38" x14ac:dyDescent="0.25">
      <c r="A32" s="9" t="s">
        <v>131</v>
      </c>
      <c r="B32" s="2" t="s">
        <v>166</v>
      </c>
      <c r="C32" s="5" t="s">
        <v>25</v>
      </c>
      <c r="D32" s="5"/>
      <c r="E32" s="5"/>
      <c r="F32" s="5"/>
      <c r="G32" s="5"/>
      <c r="H32" s="5" t="s">
        <v>182</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spans="1:38" x14ac:dyDescent="0.25">
      <c r="A33" s="9" t="s">
        <v>132</v>
      </c>
      <c r="B33" s="2" t="s">
        <v>167</v>
      </c>
      <c r="C33" s="5" t="s">
        <v>25</v>
      </c>
      <c r="D33" s="5"/>
      <c r="E33" s="5"/>
      <c r="F33" s="5"/>
      <c r="G33" s="5"/>
      <c r="H33" s="5" t="s">
        <v>182</v>
      </c>
      <c r="I33" s="5"/>
      <c r="J33" s="5"/>
      <c r="K33" s="5"/>
      <c r="L33" s="5"/>
      <c r="M33" s="5"/>
      <c r="N33" s="5"/>
      <c r="O33" s="5"/>
      <c r="P33" s="5"/>
      <c r="Q33" s="5"/>
      <c r="R33" s="5"/>
      <c r="S33" s="5" t="s">
        <v>182</v>
      </c>
      <c r="T33" s="5"/>
      <c r="U33" s="5"/>
      <c r="V33" s="5"/>
      <c r="W33" s="5"/>
      <c r="X33" s="5"/>
      <c r="Y33" s="5"/>
      <c r="Z33" s="5"/>
      <c r="AA33" s="5"/>
      <c r="AB33" s="5"/>
      <c r="AC33" s="5"/>
      <c r="AD33" s="5"/>
      <c r="AE33" s="5"/>
      <c r="AF33" s="5"/>
      <c r="AG33" s="5"/>
      <c r="AH33" s="5"/>
      <c r="AI33" s="5"/>
      <c r="AJ33" s="5"/>
      <c r="AK33" s="5"/>
      <c r="AL33" s="5" t="s">
        <v>182</v>
      </c>
    </row>
    <row r="34" spans="1:38" x14ac:dyDescent="0.25">
      <c r="A34" s="9" t="s">
        <v>133</v>
      </c>
      <c r="B34" s="2" t="s">
        <v>168</v>
      </c>
      <c r="C34" s="5" t="s">
        <v>25</v>
      </c>
      <c r="D34" s="5"/>
      <c r="E34" s="5"/>
      <c r="F34" s="5"/>
      <c r="G34" s="5"/>
      <c r="H34" s="5" t="s">
        <v>182</v>
      </c>
      <c r="I34" s="5"/>
      <c r="J34" s="5"/>
      <c r="K34" s="5"/>
      <c r="L34" s="5"/>
      <c r="M34" s="5"/>
      <c r="N34" s="5"/>
      <c r="O34" s="5"/>
      <c r="P34" s="5"/>
      <c r="Q34" s="5"/>
      <c r="R34" s="5"/>
      <c r="S34" s="5" t="s">
        <v>182</v>
      </c>
      <c r="T34" s="5" t="s">
        <v>182</v>
      </c>
      <c r="U34" s="5"/>
      <c r="V34" s="5"/>
      <c r="W34" s="5"/>
      <c r="X34" s="5"/>
      <c r="Y34" s="5"/>
      <c r="Z34" s="5"/>
      <c r="AA34" s="5"/>
      <c r="AB34" s="5"/>
      <c r="AC34" s="5"/>
      <c r="AD34" s="5"/>
      <c r="AE34" s="5"/>
      <c r="AF34" s="5"/>
      <c r="AG34" s="5"/>
      <c r="AH34" s="5"/>
      <c r="AI34" s="5"/>
      <c r="AJ34" s="5"/>
      <c r="AK34" s="5"/>
      <c r="AL34" s="5" t="s">
        <v>182</v>
      </c>
    </row>
    <row r="35" spans="1:38" x14ac:dyDescent="0.25">
      <c r="A35" s="9" t="s">
        <v>134</v>
      </c>
      <c r="B35" s="2" t="s">
        <v>169</v>
      </c>
      <c r="C35" s="5" t="s">
        <v>25</v>
      </c>
      <c r="D35" s="5"/>
      <c r="E35" s="5"/>
      <c r="F35" s="5"/>
      <c r="G35" s="5"/>
      <c r="H35" s="5" t="s">
        <v>182</v>
      </c>
      <c r="I35" s="5"/>
      <c r="J35" s="5"/>
      <c r="K35" s="5"/>
      <c r="L35" s="5"/>
      <c r="M35" s="5"/>
      <c r="N35" s="5"/>
      <c r="O35" s="5"/>
      <c r="P35" s="5"/>
      <c r="Q35" s="5"/>
      <c r="R35" s="5"/>
      <c r="S35" s="5" t="s">
        <v>182</v>
      </c>
      <c r="T35" s="5"/>
      <c r="U35" s="5"/>
      <c r="V35" s="5"/>
      <c r="W35" s="5"/>
      <c r="X35" s="5"/>
      <c r="Y35" s="5"/>
      <c r="Z35" s="5"/>
      <c r="AA35" s="5"/>
      <c r="AB35" s="5"/>
      <c r="AC35" s="5"/>
      <c r="AD35" s="5"/>
      <c r="AE35" s="5"/>
      <c r="AF35" s="5"/>
      <c r="AG35" s="5"/>
      <c r="AH35" s="5"/>
      <c r="AI35" s="5"/>
      <c r="AJ35" s="5"/>
      <c r="AK35" s="5"/>
      <c r="AL35" s="5" t="s">
        <v>182</v>
      </c>
    </row>
    <row r="36" spans="1:38" x14ac:dyDescent="0.25">
      <c r="A36" s="9" t="s">
        <v>135</v>
      </c>
      <c r="B36" s="2" t="s">
        <v>54</v>
      </c>
      <c r="C36" s="5" t="s">
        <v>25</v>
      </c>
      <c r="D36" s="5"/>
      <c r="E36" s="5"/>
      <c r="F36" s="5"/>
      <c r="G36" s="5"/>
      <c r="H36" s="5" t="s">
        <v>182</v>
      </c>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spans="1:38" x14ac:dyDescent="0.25">
      <c r="A37" s="9" t="s">
        <v>136</v>
      </c>
      <c r="B37" s="2" t="s">
        <v>54</v>
      </c>
      <c r="C37" s="5" t="s">
        <v>25</v>
      </c>
      <c r="D37" s="5"/>
      <c r="E37" s="5"/>
      <c r="F37" s="5"/>
      <c r="G37" s="5"/>
      <c r="H37" s="5" t="s">
        <v>182</v>
      </c>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spans="1:38" x14ac:dyDescent="0.25">
      <c r="A38" s="9" t="s">
        <v>137</v>
      </c>
      <c r="B38" s="2" t="s">
        <v>54</v>
      </c>
      <c r="C38" s="5" t="s">
        <v>25</v>
      </c>
      <c r="D38" s="5"/>
      <c r="E38" s="5"/>
      <c r="F38" s="5"/>
      <c r="G38" s="5"/>
      <c r="H38" s="5" t="s">
        <v>182</v>
      </c>
      <c r="I38" s="5"/>
      <c r="J38" s="5"/>
      <c r="K38" s="5"/>
      <c r="L38" s="5"/>
      <c r="M38" s="5"/>
      <c r="N38" s="5"/>
      <c r="O38" s="5"/>
      <c r="P38" s="5"/>
      <c r="Q38" s="5"/>
      <c r="R38" s="5"/>
      <c r="S38" s="5" t="s">
        <v>182</v>
      </c>
      <c r="T38" s="5"/>
      <c r="U38" s="5"/>
      <c r="V38" s="5"/>
      <c r="W38" s="5"/>
      <c r="X38" s="5"/>
      <c r="Y38" s="5"/>
      <c r="Z38" s="5"/>
      <c r="AA38" s="5"/>
      <c r="AB38" s="5"/>
      <c r="AC38" s="5"/>
      <c r="AD38" s="5"/>
      <c r="AE38" s="5"/>
      <c r="AF38" s="5"/>
      <c r="AG38" s="5"/>
      <c r="AH38" s="5"/>
      <c r="AI38" s="5"/>
      <c r="AJ38" s="5"/>
      <c r="AK38" s="5"/>
      <c r="AL38" s="5"/>
    </row>
    <row r="39" spans="1:38" x14ac:dyDescent="0.25">
      <c r="A39" s="9" t="s">
        <v>138</v>
      </c>
      <c r="B39" s="2" t="s">
        <v>170</v>
      </c>
      <c r="C39" s="5" t="s">
        <v>25</v>
      </c>
      <c r="D39" s="5"/>
      <c r="E39" s="5"/>
      <c r="F39" s="5"/>
      <c r="G39" s="5"/>
      <c r="H39" s="5" t="s">
        <v>182</v>
      </c>
      <c r="I39" s="5"/>
      <c r="J39" s="5"/>
      <c r="K39" s="5"/>
      <c r="L39" s="5"/>
      <c r="M39" s="5"/>
      <c r="N39" s="5"/>
      <c r="O39" s="5" t="s">
        <v>182</v>
      </c>
      <c r="P39" s="5"/>
      <c r="Q39" s="5"/>
      <c r="R39" s="5"/>
      <c r="S39" s="5"/>
      <c r="T39" s="5"/>
      <c r="U39" s="5"/>
      <c r="V39" s="5"/>
      <c r="W39" s="5"/>
      <c r="X39" s="5"/>
      <c r="Y39" s="5"/>
      <c r="Z39" s="5"/>
      <c r="AA39" s="5"/>
      <c r="AB39" s="5"/>
      <c r="AC39" s="5"/>
      <c r="AD39" s="5"/>
      <c r="AE39" s="5"/>
      <c r="AF39" s="5"/>
      <c r="AG39" s="5"/>
      <c r="AH39" s="5"/>
      <c r="AI39" s="5"/>
      <c r="AJ39" s="5"/>
      <c r="AK39" s="5" t="s">
        <v>182</v>
      </c>
      <c r="AL39" s="5"/>
    </row>
    <row r="40" spans="1:38" x14ac:dyDescent="0.25">
      <c r="A40" s="9" t="s">
        <v>139</v>
      </c>
      <c r="B40" s="2" t="s">
        <v>54</v>
      </c>
      <c r="C40" s="5" t="s">
        <v>25</v>
      </c>
      <c r="D40" s="5"/>
      <c r="E40" s="5"/>
      <c r="F40" s="5"/>
      <c r="G40" s="5"/>
      <c r="H40" s="5" t="s">
        <v>182</v>
      </c>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spans="1:38" x14ac:dyDescent="0.25">
      <c r="A41" s="9" t="s">
        <v>140</v>
      </c>
      <c r="B41" s="2" t="s">
        <v>54</v>
      </c>
      <c r="C41" s="5" t="s">
        <v>25</v>
      </c>
      <c r="D41" s="5"/>
      <c r="E41" s="5"/>
      <c r="F41" s="5"/>
      <c r="G41" s="5"/>
      <c r="H41" s="5" t="s">
        <v>182</v>
      </c>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spans="1:38" x14ac:dyDescent="0.25">
      <c r="A42" s="9" t="s">
        <v>141</v>
      </c>
      <c r="B42" s="2" t="s">
        <v>54</v>
      </c>
      <c r="C42" s="5" t="s">
        <v>25</v>
      </c>
      <c r="D42" s="5"/>
      <c r="E42" s="5"/>
      <c r="F42" s="5"/>
      <c r="G42" s="5"/>
      <c r="H42" s="5" t="s">
        <v>182</v>
      </c>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spans="1:38" x14ac:dyDescent="0.25">
      <c r="A43" s="9" t="s">
        <v>142</v>
      </c>
      <c r="B43" s="2" t="s">
        <v>54</v>
      </c>
      <c r="C43" s="5" t="s">
        <v>25</v>
      </c>
      <c r="D43" s="5"/>
      <c r="E43" s="5"/>
      <c r="F43" s="5"/>
      <c r="G43" s="5"/>
      <c r="H43" s="5" t="s">
        <v>182</v>
      </c>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spans="1:38" x14ac:dyDescent="0.25">
      <c r="A44" s="9" t="s">
        <v>143</v>
      </c>
      <c r="B44" s="9" t="s">
        <v>262</v>
      </c>
      <c r="C44" s="5" t="s">
        <v>25</v>
      </c>
      <c r="D44" s="5"/>
      <c r="E44" s="5"/>
      <c r="F44" s="5"/>
      <c r="G44" s="5"/>
      <c r="H44" s="5" t="s">
        <v>182</v>
      </c>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spans="1:38" x14ac:dyDescent="0.25">
      <c r="A45" s="9" t="s">
        <v>144</v>
      </c>
      <c r="B45" s="2" t="s">
        <v>172</v>
      </c>
      <c r="C45" s="5" t="s">
        <v>25</v>
      </c>
      <c r="D45" s="5"/>
      <c r="E45" s="5"/>
      <c r="F45" s="5"/>
      <c r="G45" s="5"/>
      <c r="H45" s="5" t="s">
        <v>182</v>
      </c>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spans="1:38" x14ac:dyDescent="0.25">
      <c r="A46" s="9" t="s">
        <v>145</v>
      </c>
      <c r="B46" s="2" t="s">
        <v>173</v>
      </c>
      <c r="C46" s="5" t="s">
        <v>25</v>
      </c>
      <c r="D46" s="5"/>
      <c r="E46" s="5"/>
      <c r="F46" s="5"/>
      <c r="G46" s="5"/>
      <c r="H46" s="5" t="s">
        <v>182</v>
      </c>
      <c r="I46" s="5"/>
      <c r="J46" s="5"/>
      <c r="K46" s="5"/>
      <c r="L46" s="5"/>
      <c r="M46" s="5"/>
      <c r="N46" s="5"/>
      <c r="O46" s="5"/>
      <c r="P46" s="5"/>
      <c r="Q46" s="5"/>
      <c r="R46" s="5"/>
      <c r="S46" s="5" t="s">
        <v>182</v>
      </c>
      <c r="T46" s="5"/>
      <c r="U46" s="5"/>
      <c r="V46" s="5"/>
      <c r="W46" s="5"/>
      <c r="X46" s="5"/>
      <c r="Y46" s="5"/>
      <c r="Z46" s="5"/>
      <c r="AA46" s="5"/>
      <c r="AB46" s="5"/>
      <c r="AC46" s="5"/>
      <c r="AD46" s="5"/>
      <c r="AE46" s="5"/>
      <c r="AF46" s="5"/>
      <c r="AG46" s="5"/>
      <c r="AH46" s="5"/>
      <c r="AI46" s="5"/>
      <c r="AJ46" s="5"/>
      <c r="AK46" s="5"/>
      <c r="AL46" s="5" t="s">
        <v>182</v>
      </c>
    </row>
    <row r="47" spans="1:38" x14ac:dyDescent="0.25">
      <c r="A47" s="9" t="s">
        <v>146</v>
      </c>
      <c r="B47" s="2" t="s">
        <v>174</v>
      </c>
      <c r="C47" s="5" t="s">
        <v>25</v>
      </c>
      <c r="D47" s="5"/>
      <c r="E47" s="5"/>
      <c r="F47" s="5"/>
      <c r="G47" s="5"/>
      <c r="H47" s="5" t="s">
        <v>182</v>
      </c>
      <c r="I47" s="5"/>
      <c r="J47" s="5"/>
      <c r="K47" s="5"/>
      <c r="L47" s="5"/>
      <c r="M47" s="5"/>
      <c r="N47" s="5"/>
      <c r="O47" s="5"/>
      <c r="P47" s="5"/>
      <c r="Q47" s="5"/>
      <c r="R47" s="5"/>
      <c r="S47" s="5" t="s">
        <v>182</v>
      </c>
      <c r="T47" s="5"/>
      <c r="U47" s="5"/>
      <c r="V47" s="5"/>
      <c r="W47" s="5"/>
      <c r="X47" s="5"/>
      <c r="Y47" s="5"/>
      <c r="Z47" s="5"/>
      <c r="AA47" s="5"/>
      <c r="AB47" s="5"/>
      <c r="AC47" s="5"/>
      <c r="AD47" s="5"/>
      <c r="AE47" s="5"/>
      <c r="AF47" s="5"/>
      <c r="AG47" s="5"/>
      <c r="AH47" s="5"/>
      <c r="AI47" s="5"/>
      <c r="AJ47" s="5"/>
      <c r="AK47" s="5"/>
      <c r="AL47" s="5" t="s">
        <v>182</v>
      </c>
    </row>
    <row r="48" spans="1:38" x14ac:dyDescent="0.25">
      <c r="A48" s="9" t="s">
        <v>147</v>
      </c>
      <c r="B48" s="2" t="s">
        <v>175</v>
      </c>
      <c r="C48" s="5" t="s">
        <v>25</v>
      </c>
      <c r="D48" s="5"/>
      <c r="E48" s="5"/>
      <c r="F48" s="5"/>
      <c r="G48" s="5"/>
      <c r="H48" s="5" t="s">
        <v>182</v>
      </c>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spans="1:38" x14ac:dyDescent="0.25">
      <c r="A49" s="9" t="s">
        <v>148</v>
      </c>
      <c r="B49" s="2" t="s">
        <v>54</v>
      </c>
      <c r="C49" s="5" t="s">
        <v>25</v>
      </c>
      <c r="D49" s="5"/>
      <c r="E49" s="5"/>
      <c r="F49" s="5"/>
      <c r="G49" s="5"/>
      <c r="H49" s="5" t="s">
        <v>182</v>
      </c>
      <c r="I49" s="5"/>
      <c r="J49" s="5"/>
      <c r="K49" s="5"/>
      <c r="L49" s="5"/>
      <c r="M49" s="5"/>
      <c r="N49" s="5"/>
      <c r="O49" s="5"/>
      <c r="P49" s="5"/>
      <c r="Q49" s="5"/>
      <c r="R49" s="5"/>
      <c r="S49" s="5" t="s">
        <v>182</v>
      </c>
      <c r="T49" s="5"/>
      <c r="U49" s="5"/>
      <c r="V49" s="5"/>
      <c r="W49" s="5"/>
      <c r="X49" s="5"/>
      <c r="Y49" s="5"/>
      <c r="Z49" s="5"/>
      <c r="AA49" s="5"/>
      <c r="AB49" s="5"/>
      <c r="AC49" s="5"/>
      <c r="AD49" s="5"/>
      <c r="AE49" s="5"/>
      <c r="AF49" s="5"/>
      <c r="AG49" s="5"/>
      <c r="AH49" s="5"/>
      <c r="AI49" s="5"/>
      <c r="AJ49" s="5"/>
      <c r="AK49" s="5"/>
      <c r="AL49" s="5" t="s">
        <v>182</v>
      </c>
    </row>
    <row r="50" spans="1:38" x14ac:dyDescent="0.25">
      <c r="A50" s="9" t="s">
        <v>149</v>
      </c>
      <c r="B50" s="2" t="s">
        <v>54</v>
      </c>
      <c r="C50" s="5" t="s">
        <v>25</v>
      </c>
      <c r="D50" s="5"/>
      <c r="E50" s="5"/>
      <c r="F50" s="5"/>
      <c r="G50" s="5"/>
      <c r="H50" s="5"/>
      <c r="I50" s="5"/>
      <c r="J50" s="5"/>
      <c r="K50" s="5"/>
      <c r="L50" s="5"/>
      <c r="M50" s="5"/>
      <c r="N50" s="5"/>
      <c r="O50" s="5"/>
      <c r="P50" s="5"/>
      <c r="Q50" s="5"/>
      <c r="R50" s="5"/>
      <c r="S50" s="5"/>
      <c r="T50" s="5"/>
      <c r="U50" s="5" t="s">
        <v>182</v>
      </c>
      <c r="V50" s="5"/>
      <c r="W50" s="5"/>
      <c r="X50" s="5" t="s">
        <v>182</v>
      </c>
      <c r="Y50" s="5"/>
      <c r="Z50" s="5"/>
      <c r="AA50" s="5"/>
      <c r="AB50" s="5"/>
      <c r="AC50" s="5"/>
      <c r="AD50" s="5"/>
      <c r="AE50" s="5"/>
      <c r="AF50" s="5"/>
      <c r="AG50" s="5"/>
      <c r="AH50" s="5" t="s">
        <v>182</v>
      </c>
      <c r="AI50" s="5"/>
      <c r="AJ50" s="5"/>
      <c r="AK50" s="5"/>
      <c r="AL50" s="5"/>
    </row>
    <row r="51" spans="1:38" x14ac:dyDescent="0.25">
      <c r="A51" s="9" t="s">
        <v>150</v>
      </c>
      <c r="B51" s="2" t="s">
        <v>176</v>
      </c>
      <c r="C51" s="5" t="s">
        <v>25</v>
      </c>
      <c r="D51" s="5"/>
      <c r="E51" s="5"/>
      <c r="F51" s="5"/>
      <c r="G51" s="5"/>
      <c r="H51" s="5" t="s">
        <v>182</v>
      </c>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spans="1:38" x14ac:dyDescent="0.25">
      <c r="A52" s="9" t="s">
        <v>151</v>
      </c>
      <c r="B52" s="2" t="s">
        <v>31</v>
      </c>
      <c r="C52" s="5" t="s">
        <v>25</v>
      </c>
      <c r="D52" s="5"/>
      <c r="E52" s="5"/>
      <c r="F52" s="5"/>
      <c r="G52" s="5"/>
      <c r="H52" s="5" t="s">
        <v>182</v>
      </c>
      <c r="I52" s="5"/>
      <c r="J52" s="5"/>
      <c r="K52" s="5"/>
      <c r="L52" s="5"/>
      <c r="M52" s="5"/>
      <c r="N52" s="5"/>
      <c r="O52" s="5"/>
      <c r="P52" s="5"/>
      <c r="Q52" s="5"/>
      <c r="R52" s="5"/>
      <c r="S52" s="5" t="s">
        <v>182</v>
      </c>
      <c r="T52" s="5"/>
      <c r="U52" s="5"/>
      <c r="V52" s="5"/>
      <c r="W52" s="5"/>
      <c r="X52" s="5"/>
      <c r="Y52" s="5"/>
      <c r="Z52" s="5"/>
      <c r="AA52" s="5"/>
      <c r="AB52" s="5"/>
      <c r="AC52" s="5"/>
      <c r="AD52" s="5"/>
      <c r="AE52" s="5"/>
      <c r="AF52" s="5"/>
      <c r="AG52" s="5"/>
      <c r="AH52" s="5"/>
      <c r="AI52" s="5"/>
      <c r="AJ52" s="5"/>
      <c r="AK52" s="5"/>
      <c r="AL52" s="5" t="s">
        <v>182</v>
      </c>
    </row>
    <row r="53" spans="1:38" x14ac:dyDescent="0.25">
      <c r="A53" s="9" t="s">
        <v>152</v>
      </c>
      <c r="B53" s="2" t="s">
        <v>31</v>
      </c>
      <c r="C53" s="5" t="s">
        <v>25</v>
      </c>
      <c r="D53" s="5"/>
      <c r="E53" s="5"/>
      <c r="F53" s="5"/>
      <c r="G53" s="5"/>
      <c r="H53" s="5" t="s">
        <v>182</v>
      </c>
      <c r="I53" s="5"/>
      <c r="J53" s="5"/>
      <c r="K53" s="5"/>
      <c r="L53" s="5"/>
      <c r="M53" s="5"/>
      <c r="N53" s="5"/>
      <c r="O53" s="5"/>
      <c r="P53" s="5"/>
      <c r="Q53" s="5"/>
      <c r="R53" s="5"/>
      <c r="S53" s="5" t="s">
        <v>182</v>
      </c>
      <c r="T53" s="5"/>
      <c r="U53" s="5"/>
      <c r="V53" s="5"/>
      <c r="W53" s="5"/>
      <c r="X53" s="5"/>
      <c r="Y53" s="5"/>
      <c r="Z53" s="5"/>
      <c r="AA53" s="5"/>
      <c r="AB53" s="5"/>
      <c r="AC53" s="5"/>
      <c r="AD53" s="5"/>
      <c r="AE53" s="5"/>
      <c r="AF53" s="5"/>
      <c r="AG53" s="5"/>
      <c r="AH53" s="5"/>
      <c r="AI53" s="5"/>
      <c r="AJ53" s="5"/>
      <c r="AK53" s="5"/>
      <c r="AL53" s="5" t="s">
        <v>182</v>
      </c>
    </row>
    <row r="54" spans="1:38" x14ac:dyDescent="0.25">
      <c r="A54" s="9" t="s">
        <v>153</v>
      </c>
      <c r="B54" s="2" t="s">
        <v>177</v>
      </c>
      <c r="C54" s="5" t="s">
        <v>25</v>
      </c>
      <c r="D54" s="5"/>
      <c r="E54" s="5"/>
      <c r="F54" s="5"/>
      <c r="G54" s="5"/>
      <c r="H54" s="5" t="s">
        <v>182</v>
      </c>
      <c r="I54" s="5"/>
      <c r="J54" s="5"/>
      <c r="K54" s="5"/>
      <c r="L54" s="5"/>
      <c r="M54" s="5"/>
      <c r="N54" s="5"/>
      <c r="O54" s="5"/>
      <c r="P54" s="5"/>
      <c r="Q54" s="5"/>
      <c r="R54" s="5"/>
      <c r="S54" s="5" t="s">
        <v>182</v>
      </c>
      <c r="T54" s="5"/>
      <c r="U54" s="5"/>
      <c r="V54" s="5"/>
      <c r="W54" s="5"/>
      <c r="X54" s="5"/>
      <c r="Y54" s="5"/>
      <c r="Z54" s="5"/>
      <c r="AA54" s="5"/>
      <c r="AB54" s="5"/>
      <c r="AC54" s="5"/>
      <c r="AD54" s="5"/>
      <c r="AE54" s="5"/>
      <c r="AF54" s="5"/>
      <c r="AG54" s="5"/>
      <c r="AH54" s="5"/>
      <c r="AI54" s="5"/>
      <c r="AJ54" s="5"/>
      <c r="AK54" s="5"/>
      <c r="AL54" s="5" t="s">
        <v>182</v>
      </c>
    </row>
    <row r="55" spans="1:38" x14ac:dyDescent="0.25">
      <c r="A55" s="9" t="s">
        <v>154</v>
      </c>
      <c r="B55" s="2" t="s">
        <v>178</v>
      </c>
      <c r="C55" s="5" t="s">
        <v>25</v>
      </c>
      <c r="D55" s="5"/>
      <c r="E55" s="5"/>
      <c r="F55" s="5"/>
      <c r="G55" s="5"/>
      <c r="H55" s="5" t="s">
        <v>182</v>
      </c>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spans="1:38" x14ac:dyDescent="0.25">
      <c r="A56" s="9" t="s">
        <v>155</v>
      </c>
      <c r="B56" s="2" t="s">
        <v>54</v>
      </c>
      <c r="C56" s="5" t="s">
        <v>25</v>
      </c>
      <c r="D56" s="5"/>
      <c r="E56" s="5"/>
      <c r="F56" s="5"/>
      <c r="G56" s="5"/>
      <c r="H56" s="5" t="s">
        <v>182</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spans="1:38" x14ac:dyDescent="0.25">
      <c r="A57" s="9" t="s">
        <v>156</v>
      </c>
      <c r="B57" s="2" t="s">
        <v>179</v>
      </c>
      <c r="C57" s="5" t="s">
        <v>25</v>
      </c>
      <c r="D57" s="5"/>
      <c r="E57" s="5"/>
      <c r="F57" s="5"/>
      <c r="G57" s="5"/>
      <c r="H57" s="5" t="s">
        <v>182</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spans="1:38" x14ac:dyDescent="0.25">
      <c r="A58" s="9" t="s">
        <v>157</v>
      </c>
      <c r="B58" s="2" t="s">
        <v>54</v>
      </c>
      <c r="C58" s="5" t="s">
        <v>25</v>
      </c>
      <c r="D58" s="5"/>
      <c r="E58" s="5" t="s">
        <v>182</v>
      </c>
      <c r="F58" s="5" t="s">
        <v>182</v>
      </c>
      <c r="G58" s="5" t="s">
        <v>182</v>
      </c>
      <c r="H58" s="5" t="s">
        <v>182</v>
      </c>
      <c r="I58" s="5"/>
      <c r="J58" s="5"/>
      <c r="K58" s="5"/>
      <c r="L58" s="5"/>
      <c r="M58" s="5" t="s">
        <v>182</v>
      </c>
      <c r="N58" s="5"/>
      <c r="O58" s="5"/>
      <c r="P58" s="12" t="s">
        <v>182</v>
      </c>
      <c r="Q58" s="12" t="s">
        <v>182</v>
      </c>
      <c r="R58" s="5" t="s">
        <v>182</v>
      </c>
      <c r="S58" s="5"/>
      <c r="T58" s="5"/>
      <c r="U58" s="5"/>
      <c r="V58" s="12" t="s">
        <v>182</v>
      </c>
      <c r="W58" s="5" t="s">
        <v>182</v>
      </c>
      <c r="X58" s="5"/>
      <c r="Y58" s="5"/>
      <c r="Z58" s="5"/>
      <c r="AA58" s="5"/>
      <c r="AB58" s="5"/>
      <c r="AC58" s="5"/>
      <c r="AD58" s="5" t="s">
        <v>182</v>
      </c>
      <c r="AE58" s="5"/>
      <c r="AF58" s="5"/>
      <c r="AG58" s="5"/>
      <c r="AH58" s="5"/>
      <c r="AI58" s="5" t="s">
        <v>182</v>
      </c>
      <c r="AJ58" s="5" t="s">
        <v>182</v>
      </c>
      <c r="AK58" s="5"/>
      <c r="AL58" s="5" t="s">
        <v>182</v>
      </c>
    </row>
    <row r="59" spans="1:38" x14ac:dyDescent="0.25">
      <c r="A59" s="9" t="s">
        <v>158</v>
      </c>
      <c r="B59" s="2" t="s">
        <v>54</v>
      </c>
      <c r="C59" s="5" t="s">
        <v>25</v>
      </c>
      <c r="D59" s="5"/>
      <c r="E59" s="5"/>
      <c r="F59" s="5"/>
      <c r="G59" s="5"/>
      <c r="H59" s="5" t="s">
        <v>182</v>
      </c>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sheetData>
  <mergeCells count="1">
    <mergeCell ref="A3:AL3"/>
  </mergeCells>
  <hyperlinks>
    <hyperlink ref="B6" r:id="rId1" xr:uid="{3F4CEC16-C4FD-4DAB-881C-4D60811A7C1B}"/>
    <hyperlink ref="B7" r:id="rId2" xr:uid="{AB452A3A-BF53-4FDD-9EBE-220F95179E70}"/>
    <hyperlink ref="B8" r:id="rId3" xr:uid="{4C5DB35F-4865-4D3E-BE89-1FF777044D3D}"/>
    <hyperlink ref="B9" r:id="rId4" xr:uid="{CF3CD4C1-7E1E-4BB9-A86E-F895C1AF8C7A}"/>
    <hyperlink ref="B10:B14" r:id="rId5" display="https://adsp.niagads.org/data/contributing-cohorts/" xr:uid="{47BB9CE2-D050-41F0-BA6D-A843F6F42A43}"/>
    <hyperlink ref="B30" r:id="rId6" xr:uid="{F95CBF76-69DB-40A3-AB16-D4F7BAD01F8A}"/>
    <hyperlink ref="B41:B43" r:id="rId7" display="https://adsp.niagads.org/data/contributing-cohorts/" xr:uid="{AB3A6FE2-C650-4AFD-9992-4090676763F9}"/>
    <hyperlink ref="B45" r:id="rId8" xr:uid="{741604FA-78A2-491E-A4AE-FDC201D9495E}"/>
    <hyperlink ref="B46" r:id="rId9" xr:uid="{24946EF7-8628-4EA7-A703-4AE5D5348D8D}"/>
    <hyperlink ref="B47" r:id="rId10" xr:uid="{5F388D6E-6669-4D0B-87BC-824038BA96E8}"/>
    <hyperlink ref="B48" r:id="rId11" xr:uid="{1BBBD297-088C-411B-A024-CEFC80FF3B22}"/>
    <hyperlink ref="B49" r:id="rId12" xr:uid="{F858708F-0692-422F-8B51-62C74C7003BA}"/>
    <hyperlink ref="B50" r:id="rId13" xr:uid="{AD61ABFB-D855-4108-B990-FCD926793757}"/>
    <hyperlink ref="B51" r:id="rId14" xr:uid="{C7AA1AD6-AC49-404C-9982-911A7ED788E9}"/>
    <hyperlink ref="B52" r:id="rId15" xr:uid="{05142E6E-BCA2-4731-90F7-D454802C976F}"/>
    <hyperlink ref="B53" r:id="rId16" xr:uid="{9727F015-DE47-4B46-A086-2AEF389F8333}"/>
    <hyperlink ref="B54" r:id="rId17" xr:uid="{83D20D3C-C03E-44D6-9BCB-4028823E5985}"/>
    <hyperlink ref="B55" r:id="rId18" xr:uid="{7E2C685D-2015-4672-BBA5-F70364643C4F}"/>
    <hyperlink ref="B56" r:id="rId19" xr:uid="{98912411-DA1D-4F72-92DE-23914973EB86}"/>
    <hyperlink ref="B57" r:id="rId20" xr:uid="{D17512F7-7BDA-4230-8732-2EC0B5AD255F}"/>
    <hyperlink ref="B58" r:id="rId21" xr:uid="{3F6B0139-F8FF-4602-A47E-D2EF1A58EFEE}"/>
    <hyperlink ref="B59" r:id="rId22" xr:uid="{6E5A921A-4C63-4493-88A4-6FF21A1B5890}"/>
    <hyperlink ref="B40" r:id="rId23" xr:uid="{EC3014ED-7D5E-453E-976A-A2D07F270876}"/>
    <hyperlink ref="B39" r:id="rId24" xr:uid="{A7D02DA4-1764-40F6-B73E-CA9C5518170A}"/>
    <hyperlink ref="B37:B38" r:id="rId25" display="https://adsp.niagads.org/data/contributing-cohorts/" xr:uid="{408593E5-E3AB-4BD6-BF51-412A454DCBC0}"/>
    <hyperlink ref="B36" r:id="rId26" xr:uid="{53D373A0-C5EE-4E45-9D96-DA301A99E8B7}"/>
    <hyperlink ref="B35" r:id="rId27" xr:uid="{C7384415-4DFD-4C8A-A7AC-BA9AEDE30BE6}"/>
    <hyperlink ref="B34" r:id="rId28" xr:uid="{A3906997-249C-4E17-9BE7-371AA5F84473}"/>
    <hyperlink ref="B33" r:id="rId29" xr:uid="{56099884-D29D-4628-9307-69C30E7DD999}"/>
    <hyperlink ref="B32" r:id="rId30" xr:uid="{7D97F906-2C2E-4DEC-84AF-5231FBB6168B}"/>
    <hyperlink ref="B31" r:id="rId31" xr:uid="{853CCE72-2AC9-4C83-A20F-1B3B53F425D7}"/>
    <hyperlink ref="B28" r:id="rId32" xr:uid="{15896AA1-4456-4813-914B-D00C25053980}"/>
    <hyperlink ref="B27" r:id="rId33" xr:uid="{06320BB2-357F-4EEA-8142-8F4A40D713FE}"/>
    <hyperlink ref="B26" r:id="rId34" xr:uid="{4EA8A1EA-1D95-4517-82B6-C182F58D57C5}"/>
    <hyperlink ref="B23" r:id="rId35" xr:uid="{5A4A9F5F-39D5-4BC3-9B55-E1092316F049}"/>
    <hyperlink ref="B18" r:id="rId36" xr:uid="{81E7A8BA-E3B4-405E-9C59-FBFE6A1D6D87}"/>
    <hyperlink ref="B20:B22" r:id="rId37" display="https://adsp.niagads.org/data/contributing-cohorts/" xr:uid="{01B10701-155F-445E-9F42-1E1E38FCB6A3}"/>
    <hyperlink ref="B19" r:id="rId38" xr:uid="{64E3725B-4553-4C69-82E2-66387DFA5241}"/>
    <hyperlink ref="B17" r:id="rId39" xr:uid="{6EF63694-A528-4A6B-9245-F900A347B83F}"/>
    <hyperlink ref="B16" r:id="rId40" xr:uid="{81A046C8-21EC-4FD8-AB78-5994AB1C5E04}"/>
    <hyperlink ref="B15" r:id="rId41" xr:uid="{42FE41D9-DBAF-467E-9F19-660997F57CB4}"/>
  </hyperlinks>
  <pageMargins left="0.7" right="0.7" top="0.75" bottom="0.75" header="0.3" footer="0.3"/>
  <tableParts count="1">
    <tablePart r:id="rId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914F-2691-465F-BAC5-1F6E77520F3C}">
  <dimension ref="A2:BO42"/>
  <sheetViews>
    <sheetView zoomScale="110" zoomScaleNormal="110" workbookViewId="0">
      <selection activeCell="A3" sqref="A3:BO3"/>
    </sheetView>
  </sheetViews>
  <sheetFormatPr defaultRowHeight="15" x14ac:dyDescent="0.25"/>
  <cols>
    <col min="1" max="1" width="18" bestFit="1" customWidth="1"/>
    <col min="2" max="2" width="21.7109375" customWidth="1"/>
    <col min="3" max="3" width="24" style="5" bestFit="1" customWidth="1"/>
    <col min="4" max="4" width="25" bestFit="1" customWidth="1"/>
    <col min="5" max="5" width="25.5703125" bestFit="1" customWidth="1"/>
    <col min="6" max="6" width="58.7109375" customWidth="1"/>
    <col min="7" max="7" width="60.140625" customWidth="1"/>
    <col min="8" max="8" width="19.42578125" bestFit="1" customWidth="1"/>
    <col min="9" max="9" width="19.42578125" customWidth="1"/>
    <col min="10" max="10" width="14.28515625" bestFit="1" customWidth="1"/>
  </cols>
  <sheetData>
    <row r="2" spans="1:67" x14ac:dyDescent="0.25">
      <c r="A2" s="41" t="s">
        <v>1066</v>
      </c>
      <c r="C2"/>
      <c r="AE2" s="40"/>
      <c r="AG2" s="40"/>
      <c r="BM2" s="50"/>
    </row>
    <row r="3" spans="1:67" x14ac:dyDescent="0.25">
      <c r="A3" s="169" t="s">
        <v>1057</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row>
    <row r="4" spans="1:67" x14ac:dyDescent="0.25">
      <c r="A4" s="5"/>
      <c r="C4"/>
      <c r="G4" s="22"/>
      <c r="H4" s="22"/>
      <c r="I4" s="7"/>
    </row>
    <row r="5" spans="1:67" s="41" customFormat="1" x14ac:dyDescent="0.25">
      <c r="A5" s="153" t="s">
        <v>181</v>
      </c>
      <c r="B5" s="154"/>
      <c r="C5" s="157" t="s">
        <v>1045</v>
      </c>
      <c r="D5" s="158"/>
      <c r="E5" s="155" t="s">
        <v>180</v>
      </c>
      <c r="F5" s="156"/>
      <c r="G5" s="159" t="s">
        <v>1048</v>
      </c>
      <c r="H5" s="160"/>
      <c r="I5" s="161"/>
      <c r="J5" s="118" t="s">
        <v>1049</v>
      </c>
    </row>
    <row r="6" spans="1:67" x14ac:dyDescent="0.25">
      <c r="A6" s="110" t="s">
        <v>0</v>
      </c>
      <c r="B6" s="111" t="s">
        <v>1</v>
      </c>
      <c r="C6" s="59" t="s">
        <v>2</v>
      </c>
      <c r="D6" s="54" t="s">
        <v>3</v>
      </c>
      <c r="E6" s="59" t="s">
        <v>1065</v>
      </c>
      <c r="F6" s="54" t="s">
        <v>385</v>
      </c>
      <c r="G6" s="59" t="s">
        <v>660</v>
      </c>
      <c r="H6" s="6" t="s">
        <v>406</v>
      </c>
      <c r="I6" s="54" t="s">
        <v>541</v>
      </c>
      <c r="J6" s="67" t="s">
        <v>1050</v>
      </c>
    </row>
    <row r="7" spans="1:67" x14ac:dyDescent="0.25">
      <c r="A7" s="73" t="s">
        <v>198</v>
      </c>
      <c r="B7" s="112" t="s">
        <v>258</v>
      </c>
      <c r="C7" s="72">
        <v>2768</v>
      </c>
      <c r="D7" s="55">
        <v>2768</v>
      </c>
      <c r="E7" s="73" t="s">
        <v>257</v>
      </c>
      <c r="F7" s="106" t="s">
        <v>664</v>
      </c>
      <c r="G7" s="74" t="s">
        <v>539</v>
      </c>
      <c r="H7" s="5" t="s">
        <v>20</v>
      </c>
      <c r="I7" s="106" t="s">
        <v>619</v>
      </c>
      <c r="J7" s="68" t="s">
        <v>40</v>
      </c>
    </row>
    <row r="8" spans="1:67" x14ac:dyDescent="0.25">
      <c r="A8" s="73" t="s">
        <v>200</v>
      </c>
      <c r="B8" s="112" t="s">
        <v>517</v>
      </c>
      <c r="C8" s="72">
        <v>925</v>
      </c>
      <c r="D8" s="55">
        <v>925</v>
      </c>
      <c r="E8" s="73" t="s">
        <v>257</v>
      </c>
      <c r="F8" s="106" t="s">
        <v>664</v>
      </c>
      <c r="G8" s="74" t="s">
        <v>539</v>
      </c>
      <c r="H8" s="5" t="s">
        <v>20</v>
      </c>
      <c r="I8" s="106" t="s">
        <v>619</v>
      </c>
      <c r="J8" s="68" t="s">
        <v>40</v>
      </c>
    </row>
    <row r="9" spans="1:67" x14ac:dyDescent="0.25">
      <c r="A9" s="73" t="s">
        <v>202</v>
      </c>
      <c r="B9" s="112" t="s">
        <v>518</v>
      </c>
      <c r="C9" s="72">
        <v>2040</v>
      </c>
      <c r="D9" s="55">
        <v>2040</v>
      </c>
      <c r="E9" s="73" t="s">
        <v>257</v>
      </c>
      <c r="F9" s="106" t="s">
        <v>665</v>
      </c>
      <c r="G9" s="74" t="s">
        <v>512</v>
      </c>
      <c r="H9" s="5" t="s">
        <v>20</v>
      </c>
      <c r="I9" s="106" t="s">
        <v>619</v>
      </c>
      <c r="J9" s="68" t="s">
        <v>40</v>
      </c>
    </row>
    <row r="10" spans="1:67" x14ac:dyDescent="0.25">
      <c r="A10" s="73" t="s">
        <v>204</v>
      </c>
      <c r="B10" s="112" t="s">
        <v>519</v>
      </c>
      <c r="C10" s="72">
        <v>769</v>
      </c>
      <c r="D10" s="55">
        <v>769</v>
      </c>
      <c r="E10" s="73" t="s">
        <v>20</v>
      </c>
      <c r="F10" s="106" t="s">
        <v>543</v>
      </c>
      <c r="G10" s="74" t="s">
        <v>20</v>
      </c>
      <c r="H10" s="5" t="s">
        <v>20</v>
      </c>
      <c r="I10" s="106" t="s">
        <v>542</v>
      </c>
      <c r="J10" s="68" t="s">
        <v>20</v>
      </c>
    </row>
    <row r="11" spans="1:67" x14ac:dyDescent="0.25">
      <c r="A11" s="73" t="s">
        <v>206</v>
      </c>
      <c r="B11" s="112" t="s">
        <v>659</v>
      </c>
      <c r="C11" s="72">
        <v>50</v>
      </c>
      <c r="D11" s="55">
        <v>50</v>
      </c>
      <c r="E11" s="73" t="s">
        <v>20</v>
      </c>
      <c r="F11" s="106" t="s">
        <v>651</v>
      </c>
      <c r="G11" s="74" t="s">
        <v>20</v>
      </c>
      <c r="H11" s="5" t="s">
        <v>20</v>
      </c>
      <c r="I11" s="106" t="s">
        <v>661</v>
      </c>
      <c r="J11" s="68" t="s">
        <v>20</v>
      </c>
    </row>
    <row r="12" spans="1:67" x14ac:dyDescent="0.25">
      <c r="A12" s="73" t="s">
        <v>208</v>
      </c>
      <c r="B12" s="112"/>
      <c r="C12" s="73"/>
      <c r="D12" s="56"/>
      <c r="E12" s="73"/>
      <c r="F12" s="106"/>
      <c r="G12" s="74"/>
      <c r="H12" s="5"/>
      <c r="I12" s="106"/>
      <c r="J12" s="68"/>
    </row>
    <row r="13" spans="1:67" x14ac:dyDescent="0.25">
      <c r="A13" s="73" t="s">
        <v>209</v>
      </c>
      <c r="B13" s="112" t="s">
        <v>520</v>
      </c>
      <c r="C13" s="72">
        <v>1054</v>
      </c>
      <c r="D13" s="55">
        <v>1054</v>
      </c>
      <c r="E13" s="73" t="s">
        <v>257</v>
      </c>
      <c r="F13" s="106" t="s">
        <v>544</v>
      </c>
      <c r="G13" s="74" t="s">
        <v>484</v>
      </c>
      <c r="H13" s="5" t="s">
        <v>20</v>
      </c>
      <c r="I13" s="106" t="s">
        <v>619</v>
      </c>
      <c r="J13" s="68" t="s">
        <v>40</v>
      </c>
    </row>
    <row r="14" spans="1:67" x14ac:dyDescent="0.25">
      <c r="A14" s="73" t="s">
        <v>211</v>
      </c>
      <c r="B14" s="112" t="s">
        <v>521</v>
      </c>
      <c r="C14" s="97">
        <v>1222</v>
      </c>
      <c r="D14" s="98">
        <v>1222</v>
      </c>
      <c r="E14" s="73" t="s">
        <v>257</v>
      </c>
      <c r="F14" s="106" t="s">
        <v>544</v>
      </c>
      <c r="G14" s="74" t="s">
        <v>484</v>
      </c>
      <c r="H14" s="114" t="s">
        <v>20</v>
      </c>
      <c r="I14" s="107" t="s">
        <v>619</v>
      </c>
      <c r="J14" s="68" t="s">
        <v>40</v>
      </c>
    </row>
    <row r="15" spans="1:67" x14ac:dyDescent="0.25">
      <c r="A15" s="73" t="s">
        <v>213</v>
      </c>
      <c r="B15" s="112" t="s">
        <v>522</v>
      </c>
      <c r="C15" s="99">
        <v>1330</v>
      </c>
      <c r="D15" s="100">
        <v>1330</v>
      </c>
      <c r="E15" s="73" t="s">
        <v>257</v>
      </c>
      <c r="F15" s="106" t="s">
        <v>544</v>
      </c>
      <c r="G15" s="74" t="s">
        <v>484</v>
      </c>
      <c r="H15" s="114" t="s">
        <v>20</v>
      </c>
      <c r="I15" s="107" t="s">
        <v>619</v>
      </c>
      <c r="J15" s="68" t="s">
        <v>40</v>
      </c>
    </row>
    <row r="16" spans="1:67" x14ac:dyDescent="0.25">
      <c r="A16" s="73" t="s">
        <v>215</v>
      </c>
      <c r="B16" s="112" t="s">
        <v>523</v>
      </c>
      <c r="C16" s="73">
        <v>1467</v>
      </c>
      <c r="D16" s="56">
        <v>1467</v>
      </c>
      <c r="E16" s="73" t="s">
        <v>257</v>
      </c>
      <c r="F16" s="106" t="s">
        <v>666</v>
      </c>
      <c r="G16" s="74" t="s">
        <v>485</v>
      </c>
      <c r="H16" s="114" t="s">
        <v>20</v>
      </c>
      <c r="I16" s="107" t="s">
        <v>619</v>
      </c>
      <c r="J16" s="68" t="s">
        <v>40</v>
      </c>
    </row>
    <row r="17" spans="1:10" x14ac:dyDescent="0.25">
      <c r="A17" s="73" t="s">
        <v>217</v>
      </c>
      <c r="B17" s="112" t="s">
        <v>524</v>
      </c>
      <c r="C17" s="72">
        <v>1157</v>
      </c>
      <c r="D17" s="55">
        <v>1598</v>
      </c>
      <c r="E17" s="73" t="s">
        <v>20</v>
      </c>
      <c r="F17" s="106" t="s">
        <v>667</v>
      </c>
      <c r="G17" s="73" t="s">
        <v>20</v>
      </c>
      <c r="H17" s="5" t="s">
        <v>20</v>
      </c>
      <c r="I17" s="115" t="s">
        <v>619</v>
      </c>
      <c r="J17" s="68" t="s">
        <v>20</v>
      </c>
    </row>
    <row r="18" spans="1:10" x14ac:dyDescent="0.25">
      <c r="A18" s="73" t="s">
        <v>219</v>
      </c>
      <c r="B18" s="112" t="s">
        <v>525</v>
      </c>
      <c r="C18" s="73" t="s">
        <v>672</v>
      </c>
      <c r="D18" s="56" t="s">
        <v>673</v>
      </c>
      <c r="E18" s="73" t="s">
        <v>669</v>
      </c>
      <c r="F18" s="106"/>
      <c r="G18" s="74" t="s">
        <v>670</v>
      </c>
      <c r="H18" s="9" t="s">
        <v>671</v>
      </c>
      <c r="I18" s="106" t="s">
        <v>668</v>
      </c>
      <c r="J18" s="68" t="s">
        <v>20</v>
      </c>
    </row>
    <row r="19" spans="1:10" x14ac:dyDescent="0.25">
      <c r="A19" s="73" t="s">
        <v>220</v>
      </c>
      <c r="B19" s="112" t="s">
        <v>526</v>
      </c>
      <c r="C19" s="73">
        <v>993</v>
      </c>
      <c r="D19" s="55">
        <v>1008</v>
      </c>
      <c r="E19" s="73" t="s">
        <v>20</v>
      </c>
      <c r="F19" s="106" t="s">
        <v>674</v>
      </c>
      <c r="G19" s="74" t="s">
        <v>505</v>
      </c>
      <c r="H19" s="5" t="s">
        <v>20</v>
      </c>
      <c r="I19" s="106" t="s">
        <v>662</v>
      </c>
      <c r="J19" s="96" t="s">
        <v>641</v>
      </c>
    </row>
    <row r="20" spans="1:10" x14ac:dyDescent="0.25">
      <c r="A20" s="73" t="s">
        <v>221</v>
      </c>
      <c r="B20" s="112" t="s">
        <v>527</v>
      </c>
      <c r="C20" s="73">
        <v>44</v>
      </c>
      <c r="D20" s="56">
        <v>44</v>
      </c>
      <c r="E20" s="73" t="s">
        <v>514</v>
      </c>
      <c r="F20" s="107" t="s">
        <v>675</v>
      </c>
      <c r="G20" s="74" t="s">
        <v>642</v>
      </c>
      <c r="H20" s="5" t="s">
        <v>20</v>
      </c>
      <c r="I20" s="106" t="s">
        <v>20</v>
      </c>
      <c r="J20" s="68" t="s">
        <v>20</v>
      </c>
    </row>
    <row r="21" spans="1:10" x14ac:dyDescent="0.25">
      <c r="A21" s="73" t="s">
        <v>223</v>
      </c>
      <c r="B21" s="112" t="s">
        <v>528</v>
      </c>
      <c r="C21" s="73">
        <v>423</v>
      </c>
      <c r="D21" s="56">
        <v>436</v>
      </c>
      <c r="E21" s="73" t="s">
        <v>20</v>
      </c>
      <c r="F21" s="56" t="s">
        <v>450</v>
      </c>
      <c r="G21" s="74" t="s">
        <v>20</v>
      </c>
      <c r="H21" s="5" t="s">
        <v>20</v>
      </c>
      <c r="I21" s="106" t="s">
        <v>20</v>
      </c>
      <c r="J21" s="68" t="s">
        <v>20</v>
      </c>
    </row>
    <row r="22" spans="1:10" x14ac:dyDescent="0.25">
      <c r="A22" s="73" t="s">
        <v>225</v>
      </c>
      <c r="B22" s="112" t="s">
        <v>529</v>
      </c>
      <c r="C22" s="73">
        <v>413</v>
      </c>
      <c r="D22" s="56">
        <v>431</v>
      </c>
      <c r="E22" s="73" t="s">
        <v>20</v>
      </c>
      <c r="F22" s="106" t="s">
        <v>652</v>
      </c>
      <c r="G22" s="74" t="s">
        <v>506</v>
      </c>
      <c r="H22" s="5" t="s">
        <v>20</v>
      </c>
      <c r="I22" s="106" t="s">
        <v>20</v>
      </c>
      <c r="J22" s="68" t="s">
        <v>20</v>
      </c>
    </row>
    <row r="23" spans="1:10" x14ac:dyDescent="0.25">
      <c r="A23" s="73" t="s">
        <v>228</v>
      </c>
      <c r="B23" s="112" t="s">
        <v>530</v>
      </c>
      <c r="C23" s="72">
        <v>14314</v>
      </c>
      <c r="D23" s="55">
        <v>14526</v>
      </c>
      <c r="E23" s="73" t="s">
        <v>20</v>
      </c>
      <c r="F23" s="106" t="s">
        <v>676</v>
      </c>
      <c r="G23" s="74" t="s">
        <v>20</v>
      </c>
      <c r="H23" s="5" t="s">
        <v>20</v>
      </c>
      <c r="I23" s="106" t="s">
        <v>20</v>
      </c>
      <c r="J23" s="68" t="s">
        <v>229</v>
      </c>
    </row>
    <row r="24" spans="1:10" x14ac:dyDescent="0.25">
      <c r="A24" s="73" t="s">
        <v>231</v>
      </c>
      <c r="B24" s="112" t="s">
        <v>531</v>
      </c>
      <c r="C24" s="72">
        <v>1369</v>
      </c>
      <c r="D24" s="55">
        <v>1369</v>
      </c>
      <c r="E24" s="73" t="s">
        <v>50</v>
      </c>
      <c r="F24" s="107" t="s">
        <v>677</v>
      </c>
      <c r="G24" s="74" t="s">
        <v>510</v>
      </c>
      <c r="H24" s="5" t="s">
        <v>20</v>
      </c>
      <c r="I24" s="106" t="s">
        <v>20</v>
      </c>
      <c r="J24" s="68" t="s">
        <v>20</v>
      </c>
    </row>
    <row r="25" spans="1:10" x14ac:dyDescent="0.25">
      <c r="A25" s="73" t="s">
        <v>233</v>
      </c>
      <c r="B25" s="112" t="s">
        <v>532</v>
      </c>
      <c r="C25" s="101">
        <v>18923</v>
      </c>
      <c r="D25" s="56" t="s">
        <v>20</v>
      </c>
      <c r="E25" s="73" t="s">
        <v>20</v>
      </c>
      <c r="F25" s="106" t="s">
        <v>678</v>
      </c>
      <c r="G25" s="116" t="s">
        <v>507</v>
      </c>
      <c r="H25" s="5" t="s">
        <v>20</v>
      </c>
      <c r="I25" s="115" t="s">
        <v>650</v>
      </c>
      <c r="J25" s="68" t="s">
        <v>20</v>
      </c>
    </row>
    <row r="26" spans="1:10" x14ac:dyDescent="0.25">
      <c r="A26" s="73" t="s">
        <v>234</v>
      </c>
      <c r="B26" s="112" t="s">
        <v>533</v>
      </c>
      <c r="C26" s="72">
        <v>4496</v>
      </c>
      <c r="D26" s="55">
        <v>4496</v>
      </c>
      <c r="E26" s="73" t="s">
        <v>257</v>
      </c>
      <c r="F26" s="106" t="s">
        <v>679</v>
      </c>
      <c r="G26" s="74" t="s">
        <v>649</v>
      </c>
      <c r="H26" s="5" t="s">
        <v>20</v>
      </c>
      <c r="I26" s="106" t="s">
        <v>20</v>
      </c>
      <c r="J26" s="68" t="s">
        <v>20</v>
      </c>
    </row>
    <row r="27" spans="1:10" x14ac:dyDescent="0.25">
      <c r="A27" s="73" t="s">
        <v>235</v>
      </c>
      <c r="B27" s="112" t="s">
        <v>534</v>
      </c>
      <c r="C27" s="73">
        <v>482</v>
      </c>
      <c r="D27" s="56">
        <v>482</v>
      </c>
      <c r="E27" s="73" t="s">
        <v>20</v>
      </c>
      <c r="F27" s="106" t="s">
        <v>680</v>
      </c>
      <c r="G27" s="74" t="s">
        <v>20</v>
      </c>
      <c r="H27" s="9" t="s">
        <v>20</v>
      </c>
      <c r="I27" s="106" t="s">
        <v>20</v>
      </c>
      <c r="J27" s="68" t="s">
        <v>20</v>
      </c>
    </row>
    <row r="28" spans="1:10" x14ac:dyDescent="0.25">
      <c r="A28" s="73" t="s">
        <v>236</v>
      </c>
      <c r="B28" s="112" t="s">
        <v>535</v>
      </c>
      <c r="C28" s="72">
        <v>19193</v>
      </c>
      <c r="D28" s="55">
        <v>19193</v>
      </c>
      <c r="E28" s="73" t="s">
        <v>682</v>
      </c>
      <c r="F28" s="106" t="s">
        <v>683</v>
      </c>
      <c r="G28" s="74" t="s">
        <v>681</v>
      </c>
      <c r="H28" s="5" t="s">
        <v>20</v>
      </c>
      <c r="I28" s="106" t="s">
        <v>663</v>
      </c>
      <c r="J28" s="68" t="s">
        <v>648</v>
      </c>
    </row>
    <row r="29" spans="1:10" x14ac:dyDescent="0.25">
      <c r="A29" s="73" t="s">
        <v>237</v>
      </c>
      <c r="B29" s="112" t="s">
        <v>536</v>
      </c>
      <c r="C29" s="101">
        <v>2359</v>
      </c>
      <c r="D29" s="102">
        <v>2359</v>
      </c>
      <c r="E29" s="73" t="s">
        <v>257</v>
      </c>
      <c r="F29" s="106" t="s">
        <v>666</v>
      </c>
      <c r="G29" s="74" t="s">
        <v>487</v>
      </c>
      <c r="H29" s="5" t="s">
        <v>20</v>
      </c>
      <c r="I29" s="56" t="s">
        <v>619</v>
      </c>
      <c r="J29" s="96" t="s">
        <v>40</v>
      </c>
    </row>
    <row r="30" spans="1:10" x14ac:dyDescent="0.25">
      <c r="A30" s="73" t="s">
        <v>238</v>
      </c>
      <c r="B30" s="112" t="s">
        <v>537</v>
      </c>
      <c r="C30" s="72">
        <v>2084</v>
      </c>
      <c r="D30" s="55">
        <v>2084</v>
      </c>
      <c r="E30" s="73" t="s">
        <v>257</v>
      </c>
      <c r="F30" s="106" t="s">
        <v>684</v>
      </c>
      <c r="G30" s="74" t="s">
        <v>489</v>
      </c>
      <c r="H30" s="5" t="s">
        <v>20</v>
      </c>
      <c r="I30" s="56" t="s">
        <v>619</v>
      </c>
      <c r="J30" s="68" t="s">
        <v>40</v>
      </c>
    </row>
    <row r="31" spans="1:10" x14ac:dyDescent="0.25">
      <c r="A31" s="73" t="s">
        <v>239</v>
      </c>
      <c r="B31" s="112" t="s">
        <v>538</v>
      </c>
      <c r="C31" s="101">
        <v>3744</v>
      </c>
      <c r="D31" s="102">
        <v>3744</v>
      </c>
      <c r="E31" s="73" t="s">
        <v>257</v>
      </c>
      <c r="F31" s="106" t="s">
        <v>684</v>
      </c>
      <c r="G31" s="116" t="s">
        <v>647</v>
      </c>
      <c r="H31" s="5" t="s">
        <v>20</v>
      </c>
      <c r="I31" s="56" t="s">
        <v>619</v>
      </c>
      <c r="J31" s="96" t="s">
        <v>40</v>
      </c>
    </row>
    <row r="32" spans="1:10" x14ac:dyDescent="0.25">
      <c r="A32" s="73" t="s">
        <v>240</v>
      </c>
      <c r="B32" s="112" t="s">
        <v>540</v>
      </c>
      <c r="C32" s="72">
        <v>2679</v>
      </c>
      <c r="D32" s="55">
        <v>2679</v>
      </c>
      <c r="E32" s="73" t="s">
        <v>257</v>
      </c>
      <c r="F32" s="106" t="s">
        <v>685</v>
      </c>
      <c r="G32" s="74" t="s">
        <v>645</v>
      </c>
      <c r="H32" s="5" t="s">
        <v>20</v>
      </c>
      <c r="I32" s="56" t="s">
        <v>619</v>
      </c>
      <c r="J32" s="68" t="s">
        <v>40</v>
      </c>
    </row>
    <row r="33" spans="1:10" x14ac:dyDescent="0.25">
      <c r="A33" s="73" t="s">
        <v>241</v>
      </c>
      <c r="B33" s="112" t="s">
        <v>635</v>
      </c>
      <c r="C33" s="101">
        <v>1320</v>
      </c>
      <c r="D33" s="102">
        <v>1320</v>
      </c>
      <c r="E33" s="73" t="s">
        <v>257</v>
      </c>
      <c r="F33" s="106" t="s">
        <v>685</v>
      </c>
      <c r="G33" s="116" t="s">
        <v>491</v>
      </c>
      <c r="H33" s="5" t="s">
        <v>20</v>
      </c>
      <c r="I33" s="56" t="s">
        <v>619</v>
      </c>
      <c r="J33" s="96" t="s">
        <v>40</v>
      </c>
    </row>
    <row r="34" spans="1:10" x14ac:dyDescent="0.25">
      <c r="A34" s="73" t="s">
        <v>242</v>
      </c>
      <c r="B34" s="112" t="s">
        <v>636</v>
      </c>
      <c r="C34" s="73">
        <v>378</v>
      </c>
      <c r="D34" s="56">
        <v>400</v>
      </c>
      <c r="E34" s="73" t="s">
        <v>515</v>
      </c>
      <c r="F34" s="106" t="s">
        <v>686</v>
      </c>
      <c r="G34" s="74" t="s">
        <v>646</v>
      </c>
      <c r="H34" s="5" t="s">
        <v>20</v>
      </c>
      <c r="I34" s="56" t="s">
        <v>20</v>
      </c>
      <c r="J34" s="68" t="s">
        <v>243</v>
      </c>
    </row>
    <row r="35" spans="1:10" x14ac:dyDescent="0.25">
      <c r="A35" s="73" t="s">
        <v>244</v>
      </c>
      <c r="B35" s="112" t="s">
        <v>637</v>
      </c>
      <c r="C35" s="101">
        <v>1442</v>
      </c>
      <c r="D35" s="102">
        <v>1442</v>
      </c>
      <c r="E35" s="73" t="s">
        <v>257</v>
      </c>
      <c r="F35" s="106" t="s">
        <v>493</v>
      </c>
      <c r="G35" s="116" t="s">
        <v>492</v>
      </c>
      <c r="H35" s="5" t="s">
        <v>20</v>
      </c>
      <c r="I35" s="56" t="s">
        <v>619</v>
      </c>
      <c r="J35" s="96" t="s">
        <v>40</v>
      </c>
    </row>
    <row r="36" spans="1:10" x14ac:dyDescent="0.25">
      <c r="A36" s="73" t="s">
        <v>245</v>
      </c>
      <c r="B36" s="112" t="s">
        <v>638</v>
      </c>
      <c r="C36" s="72">
        <v>4620</v>
      </c>
      <c r="D36" s="55">
        <v>4620</v>
      </c>
      <c r="E36" s="73" t="s">
        <v>257</v>
      </c>
      <c r="F36" s="106" t="s">
        <v>490</v>
      </c>
      <c r="G36" s="74" t="s">
        <v>645</v>
      </c>
      <c r="H36" s="5" t="s">
        <v>20</v>
      </c>
      <c r="I36" s="56" t="s">
        <v>619</v>
      </c>
      <c r="J36" s="68" t="s">
        <v>40</v>
      </c>
    </row>
    <row r="37" spans="1:10" x14ac:dyDescent="0.25">
      <c r="A37" s="73" t="s">
        <v>246</v>
      </c>
      <c r="B37" s="112" t="s">
        <v>639</v>
      </c>
      <c r="C37" s="103">
        <v>894</v>
      </c>
      <c r="D37" s="104">
        <v>894</v>
      </c>
      <c r="E37" s="73" t="s">
        <v>257</v>
      </c>
      <c r="F37" s="106" t="s">
        <v>493</v>
      </c>
      <c r="G37" s="74" t="s">
        <v>644</v>
      </c>
      <c r="H37" s="5" t="s">
        <v>20</v>
      </c>
      <c r="I37" s="56" t="s">
        <v>619</v>
      </c>
      <c r="J37" s="96" t="s">
        <v>40</v>
      </c>
    </row>
    <row r="38" spans="1:10" x14ac:dyDescent="0.25">
      <c r="A38" s="73" t="s">
        <v>247</v>
      </c>
      <c r="B38" s="112" t="s">
        <v>640</v>
      </c>
      <c r="C38" s="72">
        <v>4018</v>
      </c>
      <c r="D38" s="55">
        <v>4018</v>
      </c>
      <c r="E38" s="73" t="s">
        <v>20</v>
      </c>
      <c r="F38" s="106" t="s">
        <v>643</v>
      </c>
      <c r="G38" s="74" t="s">
        <v>511</v>
      </c>
      <c r="H38" s="5" t="s">
        <v>20</v>
      </c>
      <c r="I38" s="56" t="s">
        <v>20</v>
      </c>
      <c r="J38" s="68" t="s">
        <v>20</v>
      </c>
    </row>
    <row r="39" spans="1:10" x14ac:dyDescent="0.25">
      <c r="A39" s="73" t="s">
        <v>248</v>
      </c>
      <c r="B39" s="112" t="s">
        <v>653</v>
      </c>
      <c r="C39" s="103">
        <v>295</v>
      </c>
      <c r="D39" s="104">
        <v>298</v>
      </c>
      <c r="E39" s="73" t="s">
        <v>516</v>
      </c>
      <c r="F39" s="56" t="s">
        <v>687</v>
      </c>
      <c r="G39" s="116" t="s">
        <v>249</v>
      </c>
      <c r="H39" s="5" t="s">
        <v>20</v>
      </c>
      <c r="I39" s="56" t="s">
        <v>20</v>
      </c>
      <c r="J39" s="68" t="s">
        <v>243</v>
      </c>
    </row>
    <row r="40" spans="1:10" x14ac:dyDescent="0.25">
      <c r="A40" s="73" t="s">
        <v>250</v>
      </c>
      <c r="B40" s="112" t="s">
        <v>654</v>
      </c>
      <c r="C40" s="73">
        <v>164</v>
      </c>
      <c r="D40" s="56">
        <v>168</v>
      </c>
      <c r="E40" s="73" t="s">
        <v>516</v>
      </c>
      <c r="F40" s="56" t="s">
        <v>687</v>
      </c>
      <c r="G40" s="74" t="s">
        <v>20</v>
      </c>
      <c r="H40" s="5" t="s">
        <v>20</v>
      </c>
      <c r="I40" s="56" t="s">
        <v>20</v>
      </c>
      <c r="J40" s="68" t="s">
        <v>243</v>
      </c>
    </row>
    <row r="41" spans="1:10" x14ac:dyDescent="0.25">
      <c r="A41" s="73" t="s">
        <v>251</v>
      </c>
      <c r="B41" s="112" t="s">
        <v>655</v>
      </c>
      <c r="C41" s="103">
        <v>1</v>
      </c>
      <c r="D41" s="102">
        <v>2712</v>
      </c>
      <c r="E41" s="73" t="s">
        <v>20</v>
      </c>
      <c r="F41" s="106" t="s">
        <v>20</v>
      </c>
      <c r="G41" s="74" t="s">
        <v>20</v>
      </c>
      <c r="H41" s="5" t="s">
        <v>20</v>
      </c>
      <c r="I41" s="56" t="s">
        <v>20</v>
      </c>
      <c r="J41" s="68" t="s">
        <v>20</v>
      </c>
    </row>
    <row r="42" spans="1:10" x14ac:dyDescent="0.25">
      <c r="A42" s="108" t="s">
        <v>252</v>
      </c>
      <c r="B42" s="113" t="s">
        <v>656</v>
      </c>
      <c r="C42" s="78">
        <v>16160</v>
      </c>
      <c r="D42" s="105">
        <v>16201</v>
      </c>
      <c r="E42" s="108" t="s">
        <v>52</v>
      </c>
      <c r="F42" s="109" t="s">
        <v>688</v>
      </c>
      <c r="G42" s="76" t="s">
        <v>20</v>
      </c>
      <c r="H42" s="66" t="s">
        <v>20</v>
      </c>
      <c r="I42" s="117" t="s">
        <v>20</v>
      </c>
      <c r="J42" s="87" t="s">
        <v>253</v>
      </c>
    </row>
  </sheetData>
  <mergeCells count="5">
    <mergeCell ref="A5:B5"/>
    <mergeCell ref="E5:F5"/>
    <mergeCell ref="C5:D5"/>
    <mergeCell ref="G5:I5"/>
    <mergeCell ref="A3:BO3"/>
  </mergeCells>
  <phoneticPr fontId="4" type="noConversion"/>
  <hyperlinks>
    <hyperlink ref="B7" r:id="rId1" xr:uid="{9744614C-904C-4896-970E-0378F5280158}"/>
    <hyperlink ref="B8" r:id="rId2" xr:uid="{8F36B658-80F7-42E3-B2A4-734B52E24307}"/>
    <hyperlink ref="B9" r:id="rId3" xr:uid="{4CE29634-1BD6-48EC-80C0-DDEAC576A8F6}"/>
    <hyperlink ref="B10" r:id="rId4" xr:uid="{99DAF6ED-C5B5-463B-819B-2FBDDA18ED4B}"/>
    <hyperlink ref="B13" r:id="rId5" xr:uid="{A622B6AF-119C-4EFF-A306-A5730427C981}"/>
    <hyperlink ref="B14" r:id="rId6" xr:uid="{4EFE9483-736C-4AC4-BFAD-5ACDD3B131F7}"/>
    <hyperlink ref="B15" r:id="rId7" xr:uid="{A5E5CB13-B456-4B66-B698-3F95D07CD87F}"/>
    <hyperlink ref="B16" r:id="rId8" xr:uid="{E95C1F2B-9DBA-4E7A-8DB0-7AFBD3BDC7C7}"/>
    <hyperlink ref="B17" r:id="rId9" xr:uid="{6DB06488-4597-4AB7-8D5A-A7B5C8DC3CBB}"/>
    <hyperlink ref="B18" r:id="rId10" xr:uid="{E93F17DF-B41C-4C10-9E14-40E23199E07A}"/>
    <hyperlink ref="B19:B42" r:id="rId11" display="https://dss.niagads.org/datasets/ng00105/" xr:uid="{6800D978-B590-4A2C-BD6D-062B01EFD948}"/>
    <hyperlink ref="B19" r:id="rId12" xr:uid="{31AF64D7-AF25-4FD8-B1DB-68D5A9294C7E}"/>
    <hyperlink ref="B20" r:id="rId13" xr:uid="{20AE7A13-2FC3-45D1-928B-B621B28C87C0}"/>
    <hyperlink ref="B21" r:id="rId14" xr:uid="{AE0D41C7-C72F-42F6-BA6F-5CF8745F7933}"/>
    <hyperlink ref="B22" r:id="rId15" xr:uid="{FF594F9F-4769-408E-BABD-F58DB83B70A6}"/>
    <hyperlink ref="B23" r:id="rId16" xr:uid="{9FC66191-52FB-438C-98F6-B7454B406BCA}"/>
    <hyperlink ref="B24" r:id="rId17" xr:uid="{D0C4DCC3-7AD9-4FFC-8B0B-75E21A7F48FA}"/>
    <hyperlink ref="B25" r:id="rId18" xr:uid="{15DBBC5C-40AB-4573-A19B-5822036E9FB7}"/>
    <hyperlink ref="B26" r:id="rId19" xr:uid="{99FEC8CF-C062-4383-9853-EDF01E0643C7}"/>
    <hyperlink ref="B27" r:id="rId20" xr:uid="{F69422D5-2990-4035-83C3-3F64DF2D54C5}"/>
    <hyperlink ref="B28" r:id="rId21" xr:uid="{586C8FD3-F02D-4FC6-B840-0003E618D1B4}"/>
    <hyperlink ref="B29" r:id="rId22" xr:uid="{5525CFCE-6E86-4AA9-9D41-485607643EDF}"/>
    <hyperlink ref="B30" r:id="rId23" xr:uid="{8A5A68B3-E56A-44B8-8F3A-9A0D3861E861}"/>
    <hyperlink ref="B31" r:id="rId24" xr:uid="{176AD1DD-1E82-46FC-BC0C-FEFC4D5126C0}"/>
    <hyperlink ref="B32" r:id="rId25" xr:uid="{23FD53BF-2FEE-4AA7-A3A3-EECEF42BAFED}"/>
    <hyperlink ref="B33" r:id="rId26" xr:uid="{98800B6B-8C31-4F05-A0B9-AD04BD8940DD}"/>
    <hyperlink ref="B34" r:id="rId27" xr:uid="{CC38385C-AAD6-44A6-A62B-2FEF3308C611}"/>
    <hyperlink ref="B35" r:id="rId28" xr:uid="{6ACFA649-8910-48DB-A911-6043A66D76F0}"/>
    <hyperlink ref="B36" r:id="rId29" xr:uid="{CF9326E1-7612-48D2-9C66-4FCCBA1175A9}"/>
    <hyperlink ref="B37" r:id="rId30" xr:uid="{AF3EFDEB-9BBC-42D5-A107-377B7F37E46A}"/>
    <hyperlink ref="B38" r:id="rId31" xr:uid="{4A3F577D-5E4F-47D7-BFD7-2E0E4D6D3492}"/>
    <hyperlink ref="B39" r:id="rId32" xr:uid="{2DED1108-BB2C-4375-8A82-A932ABF66B1C}"/>
    <hyperlink ref="B40" r:id="rId33" xr:uid="{D316D950-BB0B-4E57-B431-7D0C0628A6E0}"/>
    <hyperlink ref="B41" r:id="rId34" xr:uid="{3BB6450A-0FD8-4E86-B4CD-8F4FA1E02C92}"/>
    <hyperlink ref="B42" r:id="rId35" xr:uid="{A45CCB4B-8582-4521-B7A7-090578E6103B}"/>
    <hyperlink ref="B11" r:id="rId36" xr:uid="{8C7AE425-A62E-4133-9EAD-C90789429C71}"/>
  </hyperlinks>
  <pageMargins left="0.7" right="0.7" top="0.75" bottom="0.75" header="0.3" footer="0.3"/>
  <tableParts count="1">
    <tablePart r:id="rId3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A2E2-8468-48FB-8567-FE757A3AF6F9}">
  <dimension ref="A2:BV59"/>
  <sheetViews>
    <sheetView zoomScaleNormal="100" workbookViewId="0">
      <selection activeCell="A3" sqref="A3:BV3"/>
    </sheetView>
  </sheetViews>
  <sheetFormatPr defaultRowHeight="15" x14ac:dyDescent="0.25"/>
  <cols>
    <col min="1" max="1" width="29" bestFit="1" customWidth="1"/>
    <col min="3" max="3" width="15.42578125" style="5" bestFit="1" customWidth="1"/>
    <col min="4" max="74" width="12.140625" bestFit="1" customWidth="1"/>
  </cols>
  <sheetData>
    <row r="2" spans="1:74" x14ac:dyDescent="0.25">
      <c r="A2" s="41" t="s">
        <v>1067</v>
      </c>
    </row>
    <row r="3" spans="1:74" ht="34.5" customHeight="1" x14ac:dyDescent="0.25">
      <c r="A3" s="172" t="s">
        <v>1056</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row>
    <row r="5" spans="1:74" x14ac:dyDescent="0.25">
      <c r="A5" s="9" t="s">
        <v>259</v>
      </c>
      <c r="B5" s="9" t="s">
        <v>1</v>
      </c>
      <c r="C5" s="5" t="s">
        <v>263</v>
      </c>
      <c r="D5" s="9" t="s">
        <v>264</v>
      </c>
      <c r="E5" s="9" t="s">
        <v>265</v>
      </c>
      <c r="F5" s="9" t="s">
        <v>266</v>
      </c>
      <c r="G5" s="9" t="s">
        <v>267</v>
      </c>
      <c r="H5" s="9" t="s">
        <v>268</v>
      </c>
      <c r="I5" s="9" t="s">
        <v>269</v>
      </c>
      <c r="J5" s="9" t="s">
        <v>270</v>
      </c>
      <c r="K5" s="9" t="s">
        <v>271</v>
      </c>
      <c r="L5" s="9" t="s">
        <v>272</v>
      </c>
      <c r="M5" s="9" t="s">
        <v>273</v>
      </c>
      <c r="N5" s="9" t="s">
        <v>274</v>
      </c>
      <c r="O5" s="9" t="s">
        <v>275</v>
      </c>
      <c r="P5" s="9" t="s">
        <v>276</v>
      </c>
      <c r="Q5" s="9" t="s">
        <v>277</v>
      </c>
      <c r="R5" s="9" t="s">
        <v>278</v>
      </c>
      <c r="S5" s="9" t="s">
        <v>279</v>
      </c>
      <c r="T5" s="9" t="s">
        <v>280</v>
      </c>
      <c r="U5" s="9" t="s">
        <v>281</v>
      </c>
      <c r="V5" s="9" t="s">
        <v>282</v>
      </c>
      <c r="W5" s="9" t="s">
        <v>283</v>
      </c>
      <c r="X5" s="9" t="s">
        <v>284</v>
      </c>
      <c r="Y5" s="9" t="s">
        <v>285</v>
      </c>
      <c r="Z5" s="9" t="s">
        <v>286</v>
      </c>
      <c r="AA5" s="9" t="s">
        <v>287</v>
      </c>
      <c r="AB5" s="9" t="s">
        <v>288</v>
      </c>
      <c r="AC5" s="9" t="s">
        <v>289</v>
      </c>
      <c r="AD5" s="9" t="s">
        <v>290</v>
      </c>
      <c r="AE5" s="9" t="s">
        <v>291</v>
      </c>
      <c r="AF5" s="9" t="s">
        <v>292</v>
      </c>
      <c r="AG5" s="9" t="s">
        <v>293</v>
      </c>
      <c r="AH5" s="9" t="s">
        <v>294</v>
      </c>
      <c r="AI5" s="9" t="s">
        <v>295</v>
      </c>
      <c r="AJ5" s="9" t="s">
        <v>296</v>
      </c>
      <c r="AK5" s="9" t="s">
        <v>297</v>
      </c>
      <c r="AL5" s="9" t="s">
        <v>298</v>
      </c>
      <c r="AM5" s="9" t="s">
        <v>299</v>
      </c>
      <c r="AN5" s="9" t="s">
        <v>300</v>
      </c>
      <c r="AO5" s="9" t="s">
        <v>301</v>
      </c>
      <c r="AP5" s="9" t="s">
        <v>302</v>
      </c>
      <c r="AQ5" s="9" t="s">
        <v>303</v>
      </c>
      <c r="AR5" s="9" t="s">
        <v>304</v>
      </c>
      <c r="AS5" s="9" t="s">
        <v>305</v>
      </c>
      <c r="AT5" s="9" t="s">
        <v>306</v>
      </c>
      <c r="AU5" s="9" t="s">
        <v>307</v>
      </c>
      <c r="AV5" s="9" t="s">
        <v>308</v>
      </c>
      <c r="AW5" s="9" t="s">
        <v>309</v>
      </c>
      <c r="AX5" s="9" t="s">
        <v>310</v>
      </c>
      <c r="AY5" s="9" t="s">
        <v>311</v>
      </c>
      <c r="AZ5" s="9" t="s">
        <v>312</v>
      </c>
      <c r="BA5" s="9" t="s">
        <v>313</v>
      </c>
      <c r="BB5" s="9" t="s">
        <v>314</v>
      </c>
      <c r="BC5" s="9" t="s">
        <v>315</v>
      </c>
      <c r="BD5" s="9" t="s">
        <v>316</v>
      </c>
      <c r="BE5" s="9" t="s">
        <v>317</v>
      </c>
      <c r="BF5" s="9" t="s">
        <v>318</v>
      </c>
      <c r="BG5" s="9" t="s">
        <v>319</v>
      </c>
      <c r="BH5" s="9" t="s">
        <v>320</v>
      </c>
      <c r="BI5" s="9" t="s">
        <v>321</v>
      </c>
      <c r="BJ5" s="9" t="s">
        <v>322</v>
      </c>
      <c r="BK5" s="9" t="s">
        <v>323</v>
      </c>
      <c r="BL5" s="9" t="s">
        <v>324</v>
      </c>
      <c r="BM5" s="9" t="s">
        <v>325</v>
      </c>
      <c r="BN5" s="9" t="s">
        <v>326</v>
      </c>
      <c r="BO5" s="9" t="s">
        <v>327</v>
      </c>
      <c r="BP5" s="9" t="s">
        <v>328</v>
      </c>
      <c r="BQ5" s="9" t="s">
        <v>329</v>
      </c>
      <c r="BR5" s="9" t="s">
        <v>330</v>
      </c>
      <c r="BS5" s="9" t="s">
        <v>331</v>
      </c>
      <c r="BT5" s="9" t="s">
        <v>332</v>
      </c>
      <c r="BU5" s="9" t="s">
        <v>333</v>
      </c>
      <c r="BV5" s="9" t="s">
        <v>334</v>
      </c>
    </row>
    <row r="6" spans="1:74" x14ac:dyDescent="0.25">
      <c r="A6" s="9" t="s">
        <v>106</v>
      </c>
      <c r="B6" s="2" t="s">
        <v>159</v>
      </c>
      <c r="C6" s="5" t="s">
        <v>182</v>
      </c>
      <c r="D6" s="5"/>
      <c r="E6" s="5"/>
      <c r="F6" s="5" t="s">
        <v>182</v>
      </c>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t="s">
        <v>182</v>
      </c>
      <c r="BE6" s="5"/>
      <c r="BF6" s="5"/>
      <c r="BG6" s="5"/>
      <c r="BH6" s="5"/>
      <c r="BI6" s="5"/>
      <c r="BJ6" s="5"/>
      <c r="BK6" s="5"/>
      <c r="BL6" s="5"/>
      <c r="BM6" s="5"/>
      <c r="BN6" s="5"/>
      <c r="BO6" s="5"/>
      <c r="BP6" s="5"/>
      <c r="BQ6" s="5"/>
      <c r="BR6" s="5"/>
      <c r="BS6" s="5"/>
      <c r="BT6" s="5"/>
      <c r="BU6" s="5"/>
      <c r="BV6" s="5" t="s">
        <v>182</v>
      </c>
    </row>
    <row r="7" spans="1:74" x14ac:dyDescent="0.25">
      <c r="A7" s="9" t="s">
        <v>261</v>
      </c>
      <c r="B7" s="2" t="s">
        <v>160</v>
      </c>
      <c r="C7" s="5" t="s">
        <v>182</v>
      </c>
      <c r="D7" s="5"/>
      <c r="E7" s="5"/>
      <c r="F7" s="5"/>
      <c r="G7" s="5"/>
      <c r="H7" s="5"/>
      <c r="I7" s="5"/>
      <c r="J7" s="5"/>
      <c r="K7" s="5"/>
      <c r="L7" s="5"/>
      <c r="M7" s="5"/>
      <c r="N7" s="5" t="s">
        <v>182</v>
      </c>
      <c r="O7" s="5"/>
      <c r="P7" s="5"/>
      <c r="Q7" s="5"/>
      <c r="R7" s="5"/>
      <c r="S7" s="5"/>
      <c r="T7" s="5"/>
      <c r="U7" s="5"/>
      <c r="V7" s="5"/>
      <c r="W7" s="5"/>
      <c r="X7" s="5"/>
      <c r="Y7" s="5"/>
      <c r="Z7" s="5"/>
      <c r="AA7" s="5"/>
      <c r="AB7" s="5"/>
      <c r="AC7" s="5"/>
      <c r="AD7" s="5"/>
      <c r="AE7" s="5"/>
      <c r="AF7" s="5"/>
      <c r="AG7" s="5"/>
      <c r="AH7" s="5"/>
      <c r="AI7" s="5"/>
      <c r="AJ7" s="5"/>
      <c r="AK7" s="5" t="s">
        <v>182</v>
      </c>
      <c r="AL7" s="5"/>
      <c r="AM7" s="5"/>
      <c r="AN7" s="5"/>
      <c r="AO7" s="5"/>
      <c r="AP7" s="5"/>
      <c r="AQ7" s="5"/>
      <c r="AR7" s="5"/>
      <c r="AS7" s="5"/>
      <c r="AT7" s="5"/>
      <c r="AU7" s="5"/>
      <c r="AV7" s="5"/>
      <c r="AW7" s="5"/>
      <c r="AX7" s="5"/>
      <c r="AY7" s="5"/>
      <c r="AZ7" s="5"/>
      <c r="BA7" s="5"/>
      <c r="BB7" s="5"/>
      <c r="BC7" s="5"/>
      <c r="BD7" s="5" t="s">
        <v>182</v>
      </c>
      <c r="BE7" s="5"/>
      <c r="BF7" s="5"/>
      <c r="BG7" s="5"/>
      <c r="BH7" s="5"/>
      <c r="BI7" s="5"/>
      <c r="BJ7" s="5"/>
      <c r="BK7" s="5"/>
      <c r="BL7" s="5"/>
      <c r="BM7" s="5"/>
      <c r="BN7" s="5"/>
      <c r="BO7" s="5"/>
      <c r="BP7" s="5"/>
      <c r="BQ7" s="5"/>
      <c r="BR7" s="5"/>
      <c r="BS7" s="5"/>
      <c r="BT7" s="5"/>
      <c r="BU7" s="5"/>
      <c r="BV7" s="5" t="s">
        <v>182</v>
      </c>
    </row>
    <row r="8" spans="1:74" x14ac:dyDescent="0.25">
      <c r="A8" s="9" t="s">
        <v>108</v>
      </c>
      <c r="B8" s="2" t="s">
        <v>161</v>
      </c>
      <c r="C8" s="5" t="s">
        <v>182</v>
      </c>
      <c r="D8" s="5" t="s">
        <v>182</v>
      </c>
      <c r="E8" s="5"/>
      <c r="F8" s="5" t="s">
        <v>182</v>
      </c>
      <c r="G8" s="5"/>
      <c r="H8" s="5"/>
      <c r="I8" s="5"/>
      <c r="J8" s="5"/>
      <c r="K8" s="5"/>
      <c r="L8" s="5"/>
      <c r="M8" s="5"/>
      <c r="N8" s="5"/>
      <c r="O8" s="5" t="s">
        <v>182</v>
      </c>
      <c r="P8" s="5"/>
      <c r="Q8" s="5" t="s">
        <v>182</v>
      </c>
      <c r="R8" s="5"/>
      <c r="S8" s="5"/>
      <c r="T8" s="5"/>
      <c r="U8" s="5"/>
      <c r="V8" s="5" t="s">
        <v>182</v>
      </c>
      <c r="W8" s="5"/>
      <c r="X8" s="5"/>
      <c r="Y8" s="5"/>
      <c r="Z8" s="5"/>
      <c r="AA8" s="5"/>
      <c r="AB8" s="5"/>
      <c r="AC8" s="5"/>
      <c r="AD8" s="5"/>
      <c r="AE8" s="5" t="s">
        <v>182</v>
      </c>
      <c r="AF8" s="5" t="s">
        <v>182</v>
      </c>
      <c r="AG8" s="5"/>
      <c r="AH8" s="5"/>
      <c r="AI8" s="5"/>
      <c r="AJ8" s="5"/>
      <c r="AK8" s="5"/>
      <c r="AL8" s="5"/>
      <c r="AM8" s="5"/>
      <c r="AN8" s="5"/>
      <c r="AO8" s="5" t="s">
        <v>182</v>
      </c>
      <c r="AP8" s="5" t="s">
        <v>182</v>
      </c>
      <c r="AQ8" s="5" t="s">
        <v>182</v>
      </c>
      <c r="AR8" s="5" t="s">
        <v>182</v>
      </c>
      <c r="AS8" s="5" t="s">
        <v>182</v>
      </c>
      <c r="AT8" s="5" t="s">
        <v>182</v>
      </c>
      <c r="AU8" s="5" t="s">
        <v>182</v>
      </c>
      <c r="AV8" s="5" t="s">
        <v>182</v>
      </c>
      <c r="AW8" s="5" t="s">
        <v>182</v>
      </c>
      <c r="AX8" s="5" t="s">
        <v>182</v>
      </c>
      <c r="AY8" s="5" t="s">
        <v>182</v>
      </c>
      <c r="AZ8" s="5" t="s">
        <v>182</v>
      </c>
      <c r="BA8" s="5" t="s">
        <v>182</v>
      </c>
      <c r="BB8" s="5" t="s">
        <v>182</v>
      </c>
      <c r="BC8" s="5" t="s">
        <v>182</v>
      </c>
      <c r="BD8" s="5" t="s">
        <v>182</v>
      </c>
      <c r="BE8" s="5"/>
      <c r="BF8" s="5"/>
      <c r="BG8" s="5"/>
      <c r="BH8" s="5"/>
      <c r="BI8" s="5" t="s">
        <v>182</v>
      </c>
      <c r="BJ8" s="5" t="s">
        <v>182</v>
      </c>
      <c r="BK8" s="5"/>
      <c r="BL8" s="5"/>
      <c r="BM8" s="5"/>
      <c r="BN8" s="5"/>
      <c r="BO8" s="5"/>
      <c r="BP8" s="5"/>
      <c r="BQ8" s="5" t="s">
        <v>182</v>
      </c>
      <c r="BR8" s="5"/>
      <c r="BS8" s="5"/>
      <c r="BT8" s="5"/>
      <c r="BU8" s="5"/>
      <c r="BV8" s="5" t="s">
        <v>182</v>
      </c>
    </row>
    <row r="9" spans="1:74" x14ac:dyDescent="0.25">
      <c r="A9" s="9" t="s">
        <v>109</v>
      </c>
      <c r="B9" s="2" t="s">
        <v>54</v>
      </c>
      <c r="C9" s="5" t="s">
        <v>25</v>
      </c>
      <c r="D9" s="5"/>
      <c r="E9" s="5"/>
      <c r="F9" s="5"/>
      <c r="G9" s="5"/>
      <c r="H9" s="5"/>
      <c r="I9" s="5"/>
      <c r="J9" s="5"/>
      <c r="K9" s="5"/>
      <c r="L9" s="5" t="s">
        <v>182</v>
      </c>
      <c r="M9" s="5" t="s">
        <v>182</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s">
        <v>182</v>
      </c>
    </row>
    <row r="10" spans="1:74" x14ac:dyDescent="0.25">
      <c r="A10" s="9" t="s">
        <v>110</v>
      </c>
      <c r="B10" s="2" t="s">
        <v>54</v>
      </c>
      <c r="C10" s="5" t="s">
        <v>25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t="s">
        <v>182</v>
      </c>
      <c r="BJ10" s="5"/>
      <c r="BK10" s="5"/>
      <c r="BL10" s="5"/>
      <c r="BM10" s="5"/>
      <c r="BN10" s="5"/>
      <c r="BO10" s="5"/>
      <c r="BP10" s="5"/>
      <c r="BQ10" s="5"/>
      <c r="BR10" s="5"/>
      <c r="BS10" s="5"/>
      <c r="BT10" s="5"/>
      <c r="BU10" s="5"/>
      <c r="BV10" s="5"/>
    </row>
    <row r="11" spans="1:74" x14ac:dyDescent="0.25">
      <c r="A11" s="9" t="s">
        <v>111</v>
      </c>
      <c r="B11" s="2" t="s">
        <v>54</v>
      </c>
      <c r="C11" s="5" t="s">
        <v>25</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t="s">
        <v>182</v>
      </c>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t="s">
        <v>182</v>
      </c>
      <c r="BJ11" s="5"/>
      <c r="BK11" s="5"/>
      <c r="BL11" s="5"/>
      <c r="BM11" s="5"/>
      <c r="BN11" s="5"/>
      <c r="BO11" s="5"/>
      <c r="BP11" s="5"/>
      <c r="BQ11" s="5"/>
      <c r="BR11" s="5"/>
      <c r="BS11" s="5"/>
      <c r="BT11" s="5"/>
      <c r="BU11" s="5"/>
      <c r="BV11" s="5"/>
    </row>
    <row r="12" spans="1:74" x14ac:dyDescent="0.25">
      <c r="A12" s="9" t="s">
        <v>112</v>
      </c>
      <c r="B12" s="2" t="s">
        <v>54</v>
      </c>
      <c r="C12" s="5" t="s">
        <v>25</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t="s">
        <v>182</v>
      </c>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t="s">
        <v>182</v>
      </c>
      <c r="BJ12" s="5"/>
      <c r="BK12" s="5"/>
      <c r="BL12" s="5"/>
      <c r="BM12" s="5"/>
      <c r="BN12" s="5"/>
      <c r="BO12" s="5"/>
      <c r="BP12" s="5"/>
      <c r="BQ12" s="5"/>
      <c r="BR12" s="5"/>
      <c r="BS12" s="5"/>
      <c r="BT12" s="5"/>
      <c r="BU12" s="5"/>
      <c r="BV12" s="5"/>
    </row>
    <row r="13" spans="1:74" x14ac:dyDescent="0.25">
      <c r="A13" s="9" t="s">
        <v>113</v>
      </c>
      <c r="B13" s="2" t="s">
        <v>54</v>
      </c>
      <c r="C13" s="5" t="s">
        <v>25</v>
      </c>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t="s">
        <v>182</v>
      </c>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t="s">
        <v>182</v>
      </c>
      <c r="BJ13" s="5"/>
      <c r="BK13" s="5"/>
      <c r="BL13" s="5"/>
      <c r="BM13" s="5"/>
      <c r="BN13" s="5"/>
      <c r="BO13" s="5"/>
      <c r="BP13" s="5"/>
      <c r="BQ13" s="5"/>
      <c r="BR13" s="5"/>
      <c r="BS13" s="5"/>
      <c r="BT13" s="5"/>
      <c r="BU13" s="5"/>
      <c r="BV13" s="5"/>
    </row>
    <row r="14" spans="1:74" x14ac:dyDescent="0.25">
      <c r="A14" s="9" t="s">
        <v>114</v>
      </c>
      <c r="B14" s="2" t="s">
        <v>54</v>
      </c>
      <c r="C14" s="5" t="s">
        <v>182</v>
      </c>
      <c r="D14" s="5" t="s">
        <v>182</v>
      </c>
      <c r="E14" s="5"/>
      <c r="F14" s="5"/>
      <c r="G14" s="5"/>
      <c r="H14" s="5"/>
      <c r="I14" s="5"/>
      <c r="J14" s="5"/>
      <c r="K14" s="5"/>
      <c r="L14" s="5"/>
      <c r="M14" s="5"/>
      <c r="N14" s="5"/>
      <c r="O14" s="5"/>
      <c r="P14" s="5"/>
      <c r="Q14" s="5"/>
      <c r="R14" s="5"/>
      <c r="S14" s="5"/>
      <c r="T14" s="5"/>
      <c r="U14" s="5"/>
      <c r="V14" s="5"/>
      <c r="W14" s="5"/>
      <c r="X14" s="5"/>
      <c r="Y14" s="5"/>
      <c r="Z14" s="5"/>
      <c r="AA14" s="5"/>
      <c r="AB14" s="5"/>
      <c r="AC14" s="5"/>
      <c r="AD14" s="5"/>
      <c r="AE14" s="5" t="s">
        <v>182</v>
      </c>
      <c r="AF14" s="5"/>
      <c r="AG14" s="5" t="s">
        <v>182</v>
      </c>
      <c r="AH14" s="5"/>
      <c r="AI14" s="5"/>
      <c r="AJ14" s="5"/>
      <c r="AK14" s="5"/>
      <c r="AL14" s="5"/>
      <c r="AM14" s="5"/>
      <c r="AN14" s="5"/>
      <c r="AO14" s="5"/>
      <c r="AP14" s="5"/>
      <c r="AQ14" s="5"/>
      <c r="AR14" s="5"/>
      <c r="AS14" s="5"/>
      <c r="AT14" s="5"/>
      <c r="AU14" s="5"/>
      <c r="AV14" s="5"/>
      <c r="AW14" s="5"/>
      <c r="AX14" s="5"/>
      <c r="AY14" s="5"/>
      <c r="AZ14" s="5"/>
      <c r="BA14" s="5"/>
      <c r="BB14" s="5"/>
      <c r="BC14" s="5"/>
      <c r="BD14" s="5" t="s">
        <v>182</v>
      </c>
      <c r="BE14" s="5"/>
      <c r="BF14" s="5"/>
      <c r="BG14" s="5" t="s">
        <v>182</v>
      </c>
      <c r="BH14" s="5"/>
      <c r="BI14" s="5" t="s">
        <v>182</v>
      </c>
      <c r="BJ14" s="5"/>
      <c r="BK14" s="5"/>
      <c r="BL14" s="5"/>
      <c r="BM14" s="5"/>
      <c r="BN14" s="5" t="s">
        <v>182</v>
      </c>
      <c r="BO14" s="5"/>
      <c r="BP14" s="5"/>
      <c r="BQ14" s="5"/>
      <c r="BR14" s="5"/>
      <c r="BS14" s="5"/>
      <c r="BT14" s="5"/>
      <c r="BU14" s="5"/>
      <c r="BV14" s="5" t="s">
        <v>182</v>
      </c>
    </row>
    <row r="15" spans="1:74" x14ac:dyDescent="0.25">
      <c r="A15" s="9" t="s">
        <v>115</v>
      </c>
      <c r="B15" s="2" t="s">
        <v>162</v>
      </c>
      <c r="C15" s="5" t="s">
        <v>182</v>
      </c>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t="s">
        <v>182</v>
      </c>
      <c r="BE15" s="5"/>
      <c r="BF15" s="5"/>
      <c r="BG15" s="5"/>
      <c r="BH15" s="5"/>
      <c r="BI15" s="5"/>
      <c r="BJ15" s="5"/>
      <c r="BK15" s="5"/>
      <c r="BL15" s="5"/>
      <c r="BM15" s="5"/>
      <c r="BN15" s="5"/>
      <c r="BO15" s="5"/>
      <c r="BP15" s="5"/>
      <c r="BQ15" s="5"/>
      <c r="BR15" s="5"/>
      <c r="BS15" s="5"/>
      <c r="BT15" s="5"/>
      <c r="BU15" s="5"/>
      <c r="BV15" s="5" t="s">
        <v>182</v>
      </c>
    </row>
    <row r="16" spans="1:74" x14ac:dyDescent="0.25">
      <c r="A16" s="9" t="s">
        <v>116</v>
      </c>
      <c r="B16" s="2" t="s">
        <v>54</v>
      </c>
      <c r="C16" s="5" t="s">
        <v>25</v>
      </c>
      <c r="D16" s="5"/>
      <c r="E16" s="5"/>
      <c r="F16" s="5" t="s">
        <v>182</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row>
    <row r="17" spans="1:74" x14ac:dyDescent="0.25">
      <c r="A17" s="9" t="s">
        <v>117</v>
      </c>
      <c r="B17" s="2" t="s">
        <v>54</v>
      </c>
      <c r="C17" s="5" t="s">
        <v>25</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t="s">
        <v>182</v>
      </c>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row>
    <row r="18" spans="1:74" x14ac:dyDescent="0.25">
      <c r="A18" s="9" t="s">
        <v>118</v>
      </c>
      <c r="B18" s="2" t="s">
        <v>94</v>
      </c>
      <c r="C18" s="5" t="s">
        <v>182</v>
      </c>
      <c r="D18" s="5" t="s">
        <v>182</v>
      </c>
      <c r="E18" s="5"/>
      <c r="F18" s="5" t="s">
        <v>182</v>
      </c>
      <c r="G18" s="5"/>
      <c r="H18" s="5"/>
      <c r="I18" s="5" t="s">
        <v>182</v>
      </c>
      <c r="J18" s="5"/>
      <c r="K18" s="5"/>
      <c r="L18" s="5"/>
      <c r="M18" s="5"/>
      <c r="N18" s="5"/>
      <c r="O18" s="5"/>
      <c r="P18" s="5"/>
      <c r="Q18" s="5"/>
      <c r="R18" s="5"/>
      <c r="S18" s="5"/>
      <c r="T18" s="5"/>
      <c r="U18" s="5"/>
      <c r="V18" s="5" t="s">
        <v>182</v>
      </c>
      <c r="W18" s="5"/>
      <c r="X18" s="5"/>
      <c r="Y18" s="5"/>
      <c r="Z18" s="5"/>
      <c r="AA18" s="5"/>
      <c r="AB18" s="5"/>
      <c r="AC18" s="5"/>
      <c r="AD18" s="5"/>
      <c r="AE18" s="5" t="s">
        <v>182</v>
      </c>
      <c r="AF18" s="5"/>
      <c r="AG18" s="5"/>
      <c r="AH18" s="5"/>
      <c r="AI18" s="5"/>
      <c r="AJ18" s="5"/>
      <c r="AK18" s="5"/>
      <c r="AL18" s="5"/>
      <c r="AM18" s="5"/>
      <c r="AN18" s="5"/>
      <c r="AO18" s="5"/>
      <c r="AP18" s="5"/>
      <c r="AQ18" s="5"/>
      <c r="AR18" s="5"/>
      <c r="AS18" s="5"/>
      <c r="AT18" s="5"/>
      <c r="AU18" s="5"/>
      <c r="AV18" s="5"/>
      <c r="AW18" s="5"/>
      <c r="AX18" s="5"/>
      <c r="AY18" s="5"/>
      <c r="AZ18" s="5"/>
      <c r="BA18" s="5"/>
      <c r="BB18" s="5"/>
      <c r="BC18" s="5"/>
      <c r="BD18" s="5" t="s">
        <v>182</v>
      </c>
      <c r="BE18" s="5"/>
      <c r="BF18" s="5"/>
      <c r="BG18" s="5"/>
      <c r="BH18" s="5"/>
      <c r="BI18" s="5"/>
      <c r="BJ18" s="5" t="s">
        <v>182</v>
      </c>
      <c r="BK18" s="5"/>
      <c r="BL18" s="5"/>
      <c r="BM18" s="5"/>
      <c r="BN18" s="5"/>
      <c r="BO18" s="5"/>
      <c r="BP18" s="5"/>
      <c r="BQ18" s="5"/>
      <c r="BR18" s="5"/>
      <c r="BS18" s="5"/>
      <c r="BT18" s="5"/>
      <c r="BU18" s="5"/>
      <c r="BV18" s="5" t="s">
        <v>182</v>
      </c>
    </row>
    <row r="19" spans="1:74" x14ac:dyDescent="0.25">
      <c r="A19" s="9" t="s">
        <v>119</v>
      </c>
      <c r="B19" s="2" t="s">
        <v>54</v>
      </c>
      <c r="C19" s="5" t="s">
        <v>25</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t="s">
        <v>182</v>
      </c>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t="s">
        <v>182</v>
      </c>
      <c r="BJ19" s="5"/>
      <c r="BK19" s="5"/>
      <c r="BL19" s="5"/>
      <c r="BM19" s="5"/>
      <c r="BN19" s="5"/>
      <c r="BO19" s="5"/>
      <c r="BP19" s="5"/>
      <c r="BQ19" s="5"/>
      <c r="BR19" s="5"/>
      <c r="BS19" s="5"/>
      <c r="BT19" s="5"/>
      <c r="BU19" s="5"/>
      <c r="BV19" s="5"/>
    </row>
    <row r="20" spans="1:74" x14ac:dyDescent="0.25">
      <c r="A20" s="9" t="s">
        <v>120</v>
      </c>
      <c r="B20" s="2" t="s">
        <v>54</v>
      </c>
      <c r="C20" s="5" t="s">
        <v>25</v>
      </c>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t="s">
        <v>182</v>
      </c>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row>
    <row r="21" spans="1:74" x14ac:dyDescent="0.25">
      <c r="A21" s="9" t="s">
        <v>121</v>
      </c>
      <c r="B21" s="2" t="s">
        <v>54</v>
      </c>
      <c r="C21" s="5" t="s">
        <v>25</v>
      </c>
      <c r="D21" s="5"/>
      <c r="E21" s="5"/>
      <c r="F21" s="5"/>
      <c r="G21" s="5"/>
      <c r="H21" s="5"/>
      <c r="I21" s="5"/>
      <c r="J21" s="5"/>
      <c r="K21" s="5"/>
      <c r="L21" s="5"/>
      <c r="M21" s="5" t="s">
        <v>182</v>
      </c>
      <c r="N21" s="5" t="s">
        <v>182</v>
      </c>
      <c r="O21" s="5"/>
      <c r="P21" s="5"/>
      <c r="Q21" s="5" t="s">
        <v>182</v>
      </c>
      <c r="R21" s="5" t="s">
        <v>182</v>
      </c>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row>
    <row r="22" spans="1:74" x14ac:dyDescent="0.25">
      <c r="A22" s="9" t="s">
        <v>122</v>
      </c>
      <c r="B22" s="2" t="s">
        <v>54</v>
      </c>
      <c r="C22" s="5" t="s">
        <v>25</v>
      </c>
      <c r="D22" s="5"/>
      <c r="E22" s="5"/>
      <c r="F22" s="5"/>
      <c r="G22" s="5"/>
      <c r="H22" s="5"/>
      <c r="I22" s="5"/>
      <c r="J22" s="5"/>
      <c r="K22" s="5"/>
      <c r="L22" s="5"/>
      <c r="M22" s="5"/>
      <c r="N22" s="5"/>
      <c r="O22" s="5"/>
      <c r="P22" s="5"/>
      <c r="Q22" s="5"/>
      <c r="R22" s="5"/>
      <c r="S22" s="5" t="s">
        <v>182</v>
      </c>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row>
    <row r="23" spans="1:74" x14ac:dyDescent="0.25">
      <c r="A23" s="9" t="s">
        <v>123</v>
      </c>
      <c r="B23" s="2" t="s">
        <v>163</v>
      </c>
      <c r="C23" s="5" t="s">
        <v>25</v>
      </c>
      <c r="D23" s="5"/>
      <c r="E23" s="5"/>
      <c r="F23" s="5"/>
      <c r="G23" s="5"/>
      <c r="H23" s="5"/>
      <c r="I23" s="5"/>
      <c r="J23" s="5"/>
      <c r="K23" s="5"/>
      <c r="L23" s="5"/>
      <c r="M23" s="5"/>
      <c r="N23" s="5"/>
      <c r="O23" s="5"/>
      <c r="P23" s="5"/>
      <c r="Q23" s="5"/>
      <c r="R23" s="5"/>
      <c r="S23" s="5"/>
      <c r="T23" s="5"/>
      <c r="U23" s="5"/>
      <c r="V23" s="5" t="s">
        <v>182</v>
      </c>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row>
    <row r="24" spans="1:74" x14ac:dyDescent="0.25">
      <c r="A24" s="9" t="s">
        <v>124</v>
      </c>
      <c r="B24" s="2" t="s">
        <v>54</v>
      </c>
      <c r="C24" s="5" t="s">
        <v>182</v>
      </c>
      <c r="D24" s="5"/>
      <c r="E24" s="5"/>
      <c r="F24" s="5"/>
      <c r="G24" s="5" t="s">
        <v>182</v>
      </c>
      <c r="H24" s="5" t="s">
        <v>182</v>
      </c>
      <c r="I24" s="5"/>
      <c r="J24" s="5"/>
      <c r="K24" s="5"/>
      <c r="L24" s="5"/>
      <c r="M24" s="5"/>
      <c r="N24" s="5"/>
      <c r="O24" s="5"/>
      <c r="P24" s="5"/>
      <c r="Q24" s="5"/>
      <c r="R24" s="5"/>
      <c r="S24" s="5"/>
      <c r="T24" s="5" t="s">
        <v>182</v>
      </c>
      <c r="U24" s="5"/>
      <c r="V24" s="5"/>
      <c r="W24" s="5"/>
      <c r="X24" s="5"/>
      <c r="Y24" s="5"/>
      <c r="Z24" s="5"/>
      <c r="AA24" s="5"/>
      <c r="AB24" s="5"/>
      <c r="AC24" s="5"/>
      <c r="AD24" s="5"/>
      <c r="AE24" s="5"/>
      <c r="AF24" s="5"/>
      <c r="AG24" s="5"/>
      <c r="AH24" s="5"/>
      <c r="AI24" s="5"/>
      <c r="AJ24" s="5"/>
      <c r="AK24" s="5"/>
      <c r="AL24" s="5"/>
      <c r="AM24" s="5"/>
      <c r="AN24" s="5"/>
      <c r="AO24" s="5"/>
      <c r="AP24" s="5"/>
      <c r="AQ24" s="5" t="s">
        <v>182</v>
      </c>
      <c r="AR24" s="5"/>
      <c r="AS24" s="5"/>
      <c r="AT24" s="5"/>
      <c r="AU24" s="5"/>
      <c r="AV24" s="5"/>
      <c r="AW24" s="5"/>
      <c r="AX24" s="5"/>
      <c r="AY24" s="5"/>
      <c r="AZ24" s="5"/>
      <c r="BA24" s="5"/>
      <c r="BB24" s="5"/>
      <c r="BC24" s="5"/>
      <c r="BD24" s="5" t="s">
        <v>182</v>
      </c>
      <c r="BE24" s="5"/>
      <c r="BF24" s="5"/>
      <c r="BG24" s="5"/>
      <c r="BH24" s="5"/>
      <c r="BI24" s="5"/>
      <c r="BJ24" s="5"/>
      <c r="BK24" s="5"/>
      <c r="BL24" s="5"/>
      <c r="BM24" s="5"/>
      <c r="BN24" s="5"/>
      <c r="BO24" s="5" t="s">
        <v>182</v>
      </c>
      <c r="BP24" s="5"/>
      <c r="BQ24" s="5" t="s">
        <v>182</v>
      </c>
      <c r="BR24" s="5"/>
      <c r="BS24" s="5"/>
      <c r="BT24" s="5"/>
      <c r="BU24" s="5"/>
      <c r="BV24" s="5" t="s">
        <v>182</v>
      </c>
    </row>
    <row r="25" spans="1:74" x14ac:dyDescent="0.25">
      <c r="A25" s="9" t="s">
        <v>125</v>
      </c>
      <c r="B25" s="2" t="s">
        <v>54</v>
      </c>
      <c r="C25" s="5" t="s">
        <v>25</v>
      </c>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t="s">
        <v>182</v>
      </c>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t="s">
        <v>182</v>
      </c>
      <c r="BK25" s="5"/>
      <c r="BL25" s="5"/>
      <c r="BM25" s="5"/>
      <c r="BN25" s="5"/>
      <c r="BO25" s="5"/>
      <c r="BP25" s="5"/>
      <c r="BQ25" s="5"/>
      <c r="BR25" s="5"/>
      <c r="BS25" s="5"/>
      <c r="BT25" s="5"/>
      <c r="BU25" s="5"/>
      <c r="BV25" s="5"/>
    </row>
    <row r="26" spans="1:74" x14ac:dyDescent="0.25">
      <c r="A26" s="9" t="s">
        <v>126</v>
      </c>
      <c r="B26" s="2" t="s">
        <v>164</v>
      </c>
      <c r="C26" s="5" t="s">
        <v>182</v>
      </c>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t="s">
        <v>182</v>
      </c>
      <c r="AR26" s="5"/>
      <c r="AS26" s="5"/>
      <c r="AT26" s="5"/>
      <c r="AU26" s="5"/>
      <c r="AV26" s="5"/>
      <c r="AW26" s="5"/>
      <c r="AX26" s="5"/>
      <c r="AY26" s="5"/>
      <c r="AZ26" s="5"/>
      <c r="BA26" s="5"/>
      <c r="BB26" s="5"/>
      <c r="BC26" s="5"/>
      <c r="BD26" s="5" t="s">
        <v>182</v>
      </c>
      <c r="BE26" s="5"/>
      <c r="BF26" s="5"/>
      <c r="BG26" s="5"/>
      <c r="BH26" s="5"/>
      <c r="BI26" s="5"/>
      <c r="BJ26" s="5"/>
      <c r="BK26" s="5"/>
      <c r="BL26" s="5"/>
      <c r="BM26" s="5"/>
      <c r="BN26" s="5"/>
      <c r="BO26" s="5"/>
      <c r="BP26" s="5"/>
      <c r="BQ26" s="5"/>
      <c r="BR26" s="5"/>
      <c r="BS26" s="5"/>
      <c r="BT26" s="5"/>
      <c r="BU26" s="5"/>
      <c r="BV26" s="5" t="s">
        <v>182</v>
      </c>
    </row>
    <row r="27" spans="1:74" x14ac:dyDescent="0.25">
      <c r="A27" s="9" t="s">
        <v>127</v>
      </c>
      <c r="B27" s="2" t="s">
        <v>54</v>
      </c>
      <c r="C27" s="5" t="s">
        <v>182</v>
      </c>
      <c r="D27" s="5"/>
      <c r="E27" s="5"/>
      <c r="F27" s="5" t="s">
        <v>182</v>
      </c>
      <c r="G27" s="5"/>
      <c r="H27" s="5"/>
      <c r="I27" s="5"/>
      <c r="J27" s="5"/>
      <c r="K27" s="5"/>
      <c r="L27" s="5"/>
      <c r="M27" s="5"/>
      <c r="N27" s="5"/>
      <c r="O27" s="5"/>
      <c r="P27" s="5"/>
      <c r="Q27" s="5"/>
      <c r="R27" s="5"/>
      <c r="S27" s="5"/>
      <c r="T27" s="5"/>
      <c r="U27" s="5"/>
      <c r="V27" s="5" t="s">
        <v>182</v>
      </c>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t="s">
        <v>182</v>
      </c>
      <c r="BE27" s="5"/>
      <c r="BF27" s="5"/>
      <c r="BG27" s="5"/>
      <c r="BH27" s="5"/>
      <c r="BI27" s="5"/>
      <c r="BJ27" s="5"/>
      <c r="BK27" s="5"/>
      <c r="BL27" s="5"/>
      <c r="BM27" s="5"/>
      <c r="BN27" s="5"/>
      <c r="BO27" s="5"/>
      <c r="BP27" s="5"/>
      <c r="BQ27" s="5"/>
      <c r="BR27" s="5"/>
      <c r="BS27" s="5"/>
      <c r="BT27" s="5"/>
      <c r="BU27" s="5"/>
      <c r="BV27" s="5" t="s">
        <v>182</v>
      </c>
    </row>
    <row r="28" spans="1:74" x14ac:dyDescent="0.25">
      <c r="A28" s="9" t="s">
        <v>37</v>
      </c>
      <c r="B28" s="2" t="s">
        <v>38</v>
      </c>
      <c r="C28" s="5" t="s">
        <v>25</v>
      </c>
      <c r="D28" s="5"/>
      <c r="E28" s="5"/>
      <c r="F28" s="5"/>
      <c r="G28" s="5"/>
      <c r="H28" s="5" t="s">
        <v>182</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row>
    <row r="29" spans="1:74" x14ac:dyDescent="0.25">
      <c r="A29" s="9" t="s">
        <v>128</v>
      </c>
      <c r="B29" s="9" t="s">
        <v>20</v>
      </c>
      <c r="C29" s="14" t="s">
        <v>182</v>
      </c>
      <c r="D29" s="5"/>
      <c r="E29" s="5"/>
      <c r="F29" s="5"/>
      <c r="G29" s="5"/>
      <c r="H29" s="5"/>
      <c r="I29" s="5"/>
      <c r="J29" s="5"/>
      <c r="K29" s="5"/>
      <c r="L29" s="5"/>
      <c r="M29" s="5"/>
      <c r="N29" s="5"/>
      <c r="O29" s="5"/>
      <c r="P29" s="5"/>
      <c r="Q29" s="5"/>
      <c r="R29" s="5"/>
      <c r="S29" s="5"/>
      <c r="T29" s="5"/>
      <c r="U29" s="5"/>
      <c r="V29" s="5"/>
      <c r="W29" s="5"/>
      <c r="X29" s="5"/>
      <c r="Y29" s="5"/>
      <c r="Z29" s="5"/>
      <c r="AA29" s="5"/>
      <c r="AB29" s="5"/>
      <c r="AC29" s="5"/>
      <c r="AD29" s="5" t="s">
        <v>182</v>
      </c>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t="s">
        <v>182</v>
      </c>
      <c r="BE29" s="5"/>
      <c r="BF29" s="5"/>
      <c r="BG29" s="5"/>
      <c r="BH29" s="5"/>
      <c r="BI29" s="5"/>
      <c r="BJ29" s="5"/>
      <c r="BK29" s="5"/>
      <c r="BL29" s="5"/>
      <c r="BM29" s="5"/>
      <c r="BN29" s="5"/>
      <c r="BO29" s="5"/>
      <c r="BP29" s="5"/>
      <c r="BQ29" s="5"/>
      <c r="BR29" s="5"/>
      <c r="BS29" s="5"/>
      <c r="BT29" s="5"/>
      <c r="BU29" s="5"/>
      <c r="BV29" s="5" t="s">
        <v>182</v>
      </c>
    </row>
    <row r="30" spans="1:74" x14ac:dyDescent="0.25">
      <c r="A30" s="9" t="s">
        <v>129</v>
      </c>
      <c r="B30" s="2" t="s">
        <v>165</v>
      </c>
      <c r="C30" s="5" t="s">
        <v>25</v>
      </c>
      <c r="D30" s="5"/>
      <c r="E30" s="5"/>
      <c r="F30" s="5"/>
      <c r="G30" s="5"/>
      <c r="H30" s="5"/>
      <c r="I30" s="5"/>
      <c r="J30" s="5"/>
      <c r="K30" s="5"/>
      <c r="L30" s="5"/>
      <c r="M30" s="5"/>
      <c r="N30" s="5"/>
      <c r="O30" s="5"/>
      <c r="P30" s="5"/>
      <c r="Q30" s="5"/>
      <c r="R30" s="5"/>
      <c r="S30" s="5"/>
      <c r="T30" s="5"/>
      <c r="U30" s="5"/>
      <c r="V30" s="5"/>
      <c r="W30" s="5"/>
      <c r="X30" s="5" t="s">
        <v>182</v>
      </c>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t="s">
        <v>182</v>
      </c>
      <c r="BF30" s="5"/>
      <c r="BG30" s="5"/>
      <c r="BH30" s="5"/>
      <c r="BI30" s="5"/>
      <c r="BJ30" s="5"/>
      <c r="BK30" s="5"/>
      <c r="BL30" s="5"/>
      <c r="BM30" s="5"/>
      <c r="BN30" s="5"/>
      <c r="BO30" s="5"/>
      <c r="BP30" s="5"/>
      <c r="BQ30" s="5"/>
      <c r="BR30" s="5"/>
      <c r="BS30" s="5"/>
      <c r="BT30" s="5"/>
      <c r="BU30" s="5"/>
      <c r="BV30" s="5"/>
    </row>
    <row r="31" spans="1:74" x14ac:dyDescent="0.25">
      <c r="A31" s="9" t="s">
        <v>130</v>
      </c>
      <c r="B31" s="2" t="s">
        <v>54</v>
      </c>
      <c r="C31" s="5" t="s">
        <v>25</v>
      </c>
      <c r="D31" s="5"/>
      <c r="E31" s="5"/>
      <c r="F31" s="5"/>
      <c r="G31" s="5"/>
      <c r="H31" s="5"/>
      <c r="I31" s="5"/>
      <c r="J31" s="5"/>
      <c r="K31" s="5"/>
      <c r="L31" s="5"/>
      <c r="M31" s="5"/>
      <c r="N31" s="5" t="s">
        <v>182</v>
      </c>
      <c r="O31" s="5"/>
      <c r="P31" s="5"/>
      <c r="Q31" s="5"/>
      <c r="R31" s="5"/>
      <c r="S31" s="5"/>
      <c r="T31" s="5"/>
      <c r="U31" s="5"/>
      <c r="V31" s="5"/>
      <c r="W31" s="5"/>
      <c r="X31" s="5"/>
      <c r="Y31" s="5"/>
      <c r="Z31" s="5"/>
      <c r="AA31" s="5"/>
      <c r="AB31" s="5"/>
      <c r="AC31" s="5"/>
      <c r="AD31" s="5"/>
      <c r="AE31" s="5"/>
      <c r="AF31" s="5"/>
      <c r="AG31" s="5"/>
      <c r="AH31" s="5"/>
      <c r="AI31" s="5"/>
      <c r="AJ31" s="5"/>
      <c r="AK31" s="5" t="s">
        <v>182</v>
      </c>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row>
    <row r="32" spans="1:74" x14ac:dyDescent="0.25">
      <c r="A32" s="9" t="s">
        <v>131</v>
      </c>
      <c r="B32" s="2" t="s">
        <v>166</v>
      </c>
      <c r="C32" s="5" t="s">
        <v>25</v>
      </c>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t="s">
        <v>182</v>
      </c>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row>
    <row r="33" spans="1:74" x14ac:dyDescent="0.25">
      <c r="A33" s="9" t="s">
        <v>132</v>
      </c>
      <c r="B33" s="2" t="s">
        <v>167</v>
      </c>
      <c r="C33" s="5" t="s">
        <v>182</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t="s">
        <v>182</v>
      </c>
      <c r="BE33" s="5"/>
      <c r="BF33" s="5"/>
      <c r="BG33" s="5"/>
      <c r="BH33" s="5"/>
      <c r="BI33" s="5"/>
      <c r="BJ33" s="5"/>
      <c r="BK33" s="5"/>
      <c r="BL33" s="5"/>
      <c r="BM33" s="5"/>
      <c r="BN33" s="5"/>
      <c r="BO33" s="5"/>
      <c r="BP33" s="5"/>
      <c r="BQ33" s="5"/>
      <c r="BR33" s="5"/>
      <c r="BS33" s="5"/>
      <c r="BT33" s="5"/>
      <c r="BU33" s="5"/>
      <c r="BV33" s="5" t="s">
        <v>182</v>
      </c>
    </row>
    <row r="34" spans="1:74" x14ac:dyDescent="0.25">
      <c r="A34" s="9" t="s">
        <v>133</v>
      </c>
      <c r="B34" s="2" t="s">
        <v>168</v>
      </c>
      <c r="C34" s="5" t="s">
        <v>182</v>
      </c>
      <c r="D34" s="5"/>
      <c r="E34" s="5"/>
      <c r="F34" s="5" t="s">
        <v>182</v>
      </c>
      <c r="G34" s="5"/>
      <c r="H34" s="5"/>
      <c r="I34" s="5"/>
      <c r="J34" s="5"/>
      <c r="K34" s="5"/>
      <c r="L34" s="5"/>
      <c r="M34" s="5"/>
      <c r="N34" s="5" t="s">
        <v>182</v>
      </c>
      <c r="O34" s="5"/>
      <c r="P34" s="5"/>
      <c r="Q34" s="5"/>
      <c r="R34" s="5"/>
      <c r="S34" s="5"/>
      <c r="T34" s="5"/>
      <c r="U34" s="5"/>
      <c r="V34" s="5"/>
      <c r="W34" s="5"/>
      <c r="X34" s="5"/>
      <c r="Y34" s="5"/>
      <c r="Z34" s="5"/>
      <c r="AA34" s="5"/>
      <c r="AB34" s="5"/>
      <c r="AC34" s="5"/>
      <c r="AD34" s="5"/>
      <c r="AE34" s="5"/>
      <c r="AF34" s="5"/>
      <c r="AG34" s="5"/>
      <c r="AH34" s="5"/>
      <c r="AI34" s="5"/>
      <c r="AJ34" s="5"/>
      <c r="AK34" s="5" t="s">
        <v>182</v>
      </c>
      <c r="AL34" s="5"/>
      <c r="AM34" s="5"/>
      <c r="AN34" s="5"/>
      <c r="AO34" s="5"/>
      <c r="AP34" s="5"/>
      <c r="AQ34" s="5"/>
      <c r="AR34" s="5"/>
      <c r="AS34" s="5"/>
      <c r="AT34" s="5"/>
      <c r="AU34" s="5"/>
      <c r="AV34" s="5"/>
      <c r="AW34" s="5"/>
      <c r="AX34" s="5"/>
      <c r="AY34" s="5"/>
      <c r="AZ34" s="5"/>
      <c r="BA34" s="5"/>
      <c r="BB34" s="5"/>
      <c r="BC34" s="5"/>
      <c r="BD34" s="5" t="s">
        <v>182</v>
      </c>
      <c r="BE34" s="5"/>
      <c r="BF34" s="5"/>
      <c r="BG34" s="5"/>
      <c r="BH34" s="5"/>
      <c r="BI34" s="5"/>
      <c r="BJ34" s="5"/>
      <c r="BK34" s="5"/>
      <c r="BL34" s="5"/>
      <c r="BM34" s="5"/>
      <c r="BN34" s="5"/>
      <c r="BO34" s="5"/>
      <c r="BP34" s="5"/>
      <c r="BQ34" s="5"/>
      <c r="BR34" s="5"/>
      <c r="BS34" s="5"/>
      <c r="BT34" s="5"/>
      <c r="BU34" s="5"/>
      <c r="BV34" s="5" t="s">
        <v>182</v>
      </c>
    </row>
    <row r="35" spans="1:74" x14ac:dyDescent="0.25">
      <c r="A35" s="9" t="s">
        <v>134</v>
      </c>
      <c r="B35" s="2" t="s">
        <v>169</v>
      </c>
      <c r="C35" s="5" t="s">
        <v>182</v>
      </c>
      <c r="D35" s="5" t="s">
        <v>182</v>
      </c>
      <c r="E35" s="5"/>
      <c r="F35" s="5"/>
      <c r="G35" s="5"/>
      <c r="H35" s="5"/>
      <c r="I35" s="5"/>
      <c r="J35" s="5" t="s">
        <v>182</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t="s">
        <v>182</v>
      </c>
      <c r="BE35" s="5"/>
      <c r="BF35" s="5"/>
      <c r="BG35" s="5"/>
      <c r="BH35" s="5"/>
      <c r="BI35" s="5"/>
      <c r="BJ35" s="5"/>
      <c r="BK35" s="5"/>
      <c r="BL35" s="5"/>
      <c r="BM35" s="5"/>
      <c r="BN35" s="5" t="s">
        <v>182</v>
      </c>
      <c r="BO35" s="5"/>
      <c r="BP35" s="5" t="s">
        <v>182</v>
      </c>
      <c r="BQ35" s="5"/>
      <c r="BR35" s="5"/>
      <c r="BS35" s="5"/>
      <c r="BT35" s="5"/>
      <c r="BU35" s="5"/>
      <c r="BV35" s="5" t="s">
        <v>182</v>
      </c>
    </row>
    <row r="36" spans="1:74" x14ac:dyDescent="0.25">
      <c r="A36" s="9" t="s">
        <v>135</v>
      </c>
      <c r="B36" s="2" t="s">
        <v>54</v>
      </c>
      <c r="C36" s="5" t="s">
        <v>25</v>
      </c>
      <c r="D36" s="5"/>
      <c r="E36" s="5"/>
      <c r="F36" s="5"/>
      <c r="G36" s="5"/>
      <c r="H36" s="5"/>
      <c r="I36" s="5"/>
      <c r="J36" s="5"/>
      <c r="K36" s="5"/>
      <c r="L36" s="5"/>
      <c r="M36" s="5"/>
      <c r="N36" s="5"/>
      <c r="O36" s="5"/>
      <c r="P36" s="5" t="s">
        <v>182</v>
      </c>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row>
    <row r="37" spans="1:74" x14ac:dyDescent="0.25">
      <c r="A37" s="9" t="s">
        <v>136</v>
      </c>
      <c r="B37" s="2" t="s">
        <v>54</v>
      </c>
      <c r="C37" s="5" t="s">
        <v>25</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t="s">
        <v>182</v>
      </c>
      <c r="BH37" s="5"/>
      <c r="BI37" s="5"/>
      <c r="BJ37" s="5"/>
      <c r="BK37" s="5"/>
      <c r="BL37" s="5"/>
      <c r="BM37" s="5"/>
      <c r="BN37" s="5"/>
      <c r="BO37" s="5"/>
      <c r="BP37" s="5"/>
      <c r="BQ37" s="5"/>
      <c r="BR37" s="5"/>
      <c r="BS37" s="5"/>
      <c r="BT37" s="5"/>
      <c r="BU37" s="5"/>
      <c r="BV37" s="5"/>
    </row>
    <row r="38" spans="1:74" x14ac:dyDescent="0.25">
      <c r="A38" s="9" t="s">
        <v>137</v>
      </c>
      <c r="B38" s="2" t="s">
        <v>54</v>
      </c>
      <c r="C38" s="5" t="s">
        <v>182</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t="s">
        <v>182</v>
      </c>
      <c r="AF38" s="5"/>
      <c r="AG38" s="5"/>
      <c r="AH38" s="5"/>
      <c r="AI38" s="5"/>
      <c r="AJ38" s="5"/>
      <c r="AK38" s="5"/>
      <c r="AL38" s="5"/>
      <c r="AM38" s="5"/>
      <c r="AN38" s="5"/>
      <c r="AO38" s="5"/>
      <c r="AP38" s="5"/>
      <c r="AQ38" s="5"/>
      <c r="AR38" s="5"/>
      <c r="AS38" s="5"/>
      <c r="AT38" s="5"/>
      <c r="AU38" s="5"/>
      <c r="AV38" s="5"/>
      <c r="AW38" s="5"/>
      <c r="AX38" s="5"/>
      <c r="AY38" s="5"/>
      <c r="AZ38" s="5"/>
      <c r="BA38" s="5"/>
      <c r="BB38" s="5"/>
      <c r="BC38" s="5"/>
      <c r="BD38" s="5" t="s">
        <v>182</v>
      </c>
      <c r="BE38" s="5"/>
      <c r="BF38" s="5"/>
      <c r="BG38" s="5"/>
      <c r="BH38" s="5"/>
      <c r="BI38" s="5"/>
      <c r="BJ38" s="5"/>
      <c r="BK38" s="5"/>
      <c r="BL38" s="5"/>
      <c r="BM38" s="5"/>
      <c r="BN38" s="5"/>
      <c r="BO38" s="5"/>
      <c r="BP38" s="5"/>
      <c r="BQ38" s="5"/>
      <c r="BR38" s="5"/>
      <c r="BS38" s="5"/>
      <c r="BT38" s="5"/>
      <c r="BU38" s="5"/>
      <c r="BV38" s="5"/>
    </row>
    <row r="39" spans="1:74" x14ac:dyDescent="0.25">
      <c r="A39" s="9" t="s">
        <v>138</v>
      </c>
      <c r="B39" s="2" t="s">
        <v>170</v>
      </c>
      <c r="C39" s="5" t="s">
        <v>25</v>
      </c>
      <c r="D39" s="5"/>
      <c r="E39" s="5"/>
      <c r="F39" s="5"/>
      <c r="G39" s="5"/>
      <c r="H39" s="5"/>
      <c r="I39" s="5"/>
      <c r="J39" s="5"/>
      <c r="K39" s="5"/>
      <c r="L39" s="5"/>
      <c r="M39" s="5"/>
      <c r="N39" s="5"/>
      <c r="O39" s="5"/>
      <c r="P39" s="5"/>
      <c r="Q39" s="5"/>
      <c r="R39" s="5"/>
      <c r="S39" s="5"/>
      <c r="T39" s="5"/>
      <c r="U39" s="5"/>
      <c r="V39" s="5"/>
      <c r="W39" s="5"/>
      <c r="X39" s="5"/>
      <c r="Y39" s="5" t="s">
        <v>182</v>
      </c>
      <c r="Z39" s="5"/>
      <c r="AA39" s="5"/>
      <c r="AB39" s="5"/>
      <c r="AC39" s="5"/>
      <c r="AD39" s="5"/>
      <c r="AE39" s="5"/>
      <c r="AF39" s="5"/>
      <c r="AG39" s="5" t="s">
        <v>182</v>
      </c>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t="s">
        <v>182</v>
      </c>
      <c r="BT39" s="5"/>
      <c r="BU39" s="5"/>
      <c r="BV39" s="5"/>
    </row>
    <row r="40" spans="1:74" x14ac:dyDescent="0.25">
      <c r="A40" s="9" t="s">
        <v>139</v>
      </c>
      <c r="B40" s="2" t="s">
        <v>54</v>
      </c>
      <c r="C40" s="5" t="s">
        <v>25</v>
      </c>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t="s">
        <v>182</v>
      </c>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row>
    <row r="41" spans="1:74" x14ac:dyDescent="0.25">
      <c r="A41" s="9" t="s">
        <v>140</v>
      </c>
      <c r="B41" s="2" t="s">
        <v>54</v>
      </c>
      <c r="C41" s="5" t="s">
        <v>25</v>
      </c>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t="s">
        <v>182</v>
      </c>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row>
    <row r="42" spans="1:74" x14ac:dyDescent="0.25">
      <c r="A42" s="9" t="s">
        <v>141</v>
      </c>
      <c r="B42" s="2" t="s">
        <v>54</v>
      </c>
      <c r="C42" s="5" t="s">
        <v>25</v>
      </c>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t="s">
        <v>182</v>
      </c>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row>
    <row r="43" spans="1:74" x14ac:dyDescent="0.25">
      <c r="A43" s="9" t="s">
        <v>142</v>
      </c>
      <c r="B43" s="2" t="s">
        <v>54</v>
      </c>
      <c r="C43" s="5" t="s">
        <v>25</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t="s">
        <v>182</v>
      </c>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t="s">
        <v>182</v>
      </c>
      <c r="BJ43" s="5"/>
      <c r="BK43" s="5"/>
      <c r="BL43" s="5"/>
      <c r="BM43" s="5"/>
      <c r="BN43" s="5"/>
      <c r="BO43" s="5"/>
      <c r="BP43" s="5"/>
      <c r="BQ43" s="5"/>
      <c r="BR43" s="5"/>
      <c r="BS43" s="5"/>
      <c r="BT43" s="5"/>
      <c r="BU43" s="5"/>
      <c r="BV43" s="5"/>
    </row>
    <row r="44" spans="1:74" x14ac:dyDescent="0.25">
      <c r="A44" s="9" t="s">
        <v>143</v>
      </c>
      <c r="B44" s="9" t="s">
        <v>262</v>
      </c>
      <c r="C44" s="5" t="s">
        <v>25</v>
      </c>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t="s">
        <v>182</v>
      </c>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row>
    <row r="45" spans="1:74" x14ac:dyDescent="0.25">
      <c r="A45" s="9" t="s">
        <v>144</v>
      </c>
      <c r="B45" s="2" t="s">
        <v>172</v>
      </c>
      <c r="C45" s="5" t="s">
        <v>25</v>
      </c>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t="s">
        <v>182</v>
      </c>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row>
    <row r="46" spans="1:74" x14ac:dyDescent="0.25">
      <c r="A46" s="9" t="s">
        <v>145</v>
      </c>
      <c r="B46" s="2" t="s">
        <v>173</v>
      </c>
      <c r="C46" s="5" t="s">
        <v>182</v>
      </c>
      <c r="D46" s="5" t="s">
        <v>182</v>
      </c>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t="s">
        <v>182</v>
      </c>
      <c r="AG46" s="5"/>
      <c r="AH46" s="5"/>
      <c r="AI46" s="5"/>
      <c r="AJ46" s="5"/>
      <c r="AK46" s="5"/>
      <c r="AL46" s="5"/>
      <c r="AM46" s="5"/>
      <c r="AN46" s="5"/>
      <c r="AO46" s="5"/>
      <c r="AP46" s="5"/>
      <c r="AQ46" s="5"/>
      <c r="AR46" s="5"/>
      <c r="AS46" s="5"/>
      <c r="AT46" s="5"/>
      <c r="AU46" s="5"/>
      <c r="AV46" s="5"/>
      <c r="AW46" s="5"/>
      <c r="AX46" s="5"/>
      <c r="AY46" s="5"/>
      <c r="AZ46" s="5"/>
      <c r="BA46" s="5"/>
      <c r="BB46" s="5"/>
      <c r="BC46" s="5"/>
      <c r="BD46" s="5" t="s">
        <v>182</v>
      </c>
      <c r="BE46" s="5"/>
      <c r="BF46" s="5"/>
      <c r="BG46" s="5"/>
      <c r="BH46" s="5"/>
      <c r="BI46" s="5"/>
      <c r="BJ46" s="5"/>
      <c r="BK46" s="5"/>
      <c r="BL46" s="5"/>
      <c r="BM46" s="5"/>
      <c r="BN46" s="5"/>
      <c r="BO46" s="5"/>
      <c r="BP46" s="5"/>
      <c r="BQ46" s="5"/>
      <c r="BR46" s="5"/>
      <c r="BS46" s="5"/>
      <c r="BT46" s="5"/>
      <c r="BU46" s="5"/>
      <c r="BV46" s="5" t="s">
        <v>182</v>
      </c>
    </row>
    <row r="47" spans="1:74" x14ac:dyDescent="0.25">
      <c r="A47" s="9" t="s">
        <v>146</v>
      </c>
      <c r="B47" s="2" t="s">
        <v>174</v>
      </c>
      <c r="C47" s="5" t="s">
        <v>182</v>
      </c>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t="s">
        <v>182</v>
      </c>
      <c r="BE47" s="5"/>
      <c r="BF47" s="5"/>
      <c r="BG47" s="5"/>
      <c r="BH47" s="5"/>
      <c r="BI47" s="5"/>
      <c r="BJ47" s="5"/>
      <c r="BK47" s="5"/>
      <c r="BL47" s="5"/>
      <c r="BM47" s="5"/>
      <c r="BN47" s="5"/>
      <c r="BO47" s="5"/>
      <c r="BP47" s="5"/>
      <c r="BQ47" s="5"/>
      <c r="BR47" s="5"/>
      <c r="BS47" s="5"/>
      <c r="BT47" s="5"/>
      <c r="BU47" s="5"/>
      <c r="BV47" s="5" t="s">
        <v>182</v>
      </c>
    </row>
    <row r="48" spans="1:74" x14ac:dyDescent="0.25">
      <c r="A48" s="9" t="s">
        <v>147</v>
      </c>
      <c r="B48" s="2" t="s">
        <v>175</v>
      </c>
      <c r="C48" s="5" t="s">
        <v>25</v>
      </c>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t="s">
        <v>182</v>
      </c>
      <c r="BI48" s="5" t="s">
        <v>182</v>
      </c>
      <c r="BJ48" s="5"/>
      <c r="BK48" s="5"/>
      <c r="BL48" s="5"/>
      <c r="BM48" s="5"/>
      <c r="BN48" s="5"/>
      <c r="BO48" s="5"/>
      <c r="BP48" s="5"/>
      <c r="BQ48" s="5"/>
      <c r="BR48" s="5"/>
      <c r="BS48" s="5"/>
      <c r="BT48" s="5"/>
      <c r="BU48" s="5"/>
      <c r="BV48" s="5"/>
    </row>
    <row r="49" spans="1:74" x14ac:dyDescent="0.25">
      <c r="A49" s="9" t="s">
        <v>148</v>
      </c>
      <c r="B49" s="2" t="s">
        <v>54</v>
      </c>
      <c r="C49" s="5" t="s">
        <v>182</v>
      </c>
      <c r="D49" s="5" t="s">
        <v>182</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t="s">
        <v>182</v>
      </c>
      <c r="BE49" s="5"/>
      <c r="BF49" s="5"/>
      <c r="BG49" s="5"/>
      <c r="BH49" s="5"/>
      <c r="BI49" s="5"/>
      <c r="BJ49" s="5"/>
      <c r="BK49" s="5"/>
      <c r="BL49" s="5"/>
      <c r="BM49" s="5"/>
      <c r="BN49" s="5"/>
      <c r="BO49" s="5"/>
      <c r="BP49" s="5"/>
      <c r="BQ49" s="5"/>
      <c r="BR49" s="5"/>
      <c r="BS49" s="5"/>
      <c r="BT49" s="5"/>
      <c r="BU49" s="5"/>
      <c r="BV49" s="5" t="s">
        <v>182</v>
      </c>
    </row>
    <row r="50" spans="1:74" x14ac:dyDescent="0.25">
      <c r="A50" s="9" t="s">
        <v>149</v>
      </c>
      <c r="B50" s="2" t="s">
        <v>54</v>
      </c>
      <c r="C50" s="5" t="s">
        <v>25</v>
      </c>
      <c r="D50" s="5"/>
      <c r="E50" s="5"/>
      <c r="F50" s="5"/>
      <c r="G50" s="5"/>
      <c r="H50" s="5"/>
      <c r="I50" s="5"/>
      <c r="J50" s="5"/>
      <c r="K50" s="5"/>
      <c r="L50" s="5"/>
      <c r="M50" s="5"/>
      <c r="N50" s="5"/>
      <c r="O50" s="5"/>
      <c r="P50" s="5"/>
      <c r="Q50" s="5"/>
      <c r="R50" s="5"/>
      <c r="S50" s="5"/>
      <c r="T50" s="5"/>
      <c r="U50" s="5"/>
      <c r="V50" s="5"/>
      <c r="W50" s="5"/>
      <c r="X50" s="5"/>
      <c r="Y50" s="5"/>
      <c r="Z50" s="5"/>
      <c r="AA50" s="5"/>
      <c r="AB50" s="5" t="s">
        <v>182</v>
      </c>
      <c r="AC50" s="5" t="s">
        <v>182</v>
      </c>
      <c r="AD50" s="5"/>
      <c r="AE50" s="5"/>
      <c r="AF50" s="5"/>
      <c r="AG50" s="5"/>
      <c r="AH50" s="5"/>
      <c r="AI50" s="5"/>
      <c r="AJ50" s="5" t="s">
        <v>182</v>
      </c>
      <c r="AK50" s="5"/>
      <c r="AL50" s="5"/>
      <c r="AM50" s="5" t="s">
        <v>182</v>
      </c>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row>
    <row r="51" spans="1:74" x14ac:dyDescent="0.25">
      <c r="A51" s="9" t="s">
        <v>150</v>
      </c>
      <c r="B51" s="2" t="s">
        <v>176</v>
      </c>
      <c r="C51" s="5" t="s">
        <v>25</v>
      </c>
      <c r="D51" s="5"/>
      <c r="E51" s="5"/>
      <c r="F51" s="5" t="s">
        <v>182</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row>
    <row r="52" spans="1:74" x14ac:dyDescent="0.25">
      <c r="A52" s="9" t="s">
        <v>151</v>
      </c>
      <c r="B52" s="2" t="s">
        <v>31</v>
      </c>
      <c r="C52" s="5" t="s">
        <v>182</v>
      </c>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t="s">
        <v>182</v>
      </c>
      <c r="BE52" s="5"/>
      <c r="BF52" s="5"/>
      <c r="BG52" s="5"/>
      <c r="BH52" s="5"/>
      <c r="BI52" s="5"/>
      <c r="BJ52" s="5"/>
      <c r="BK52" s="5"/>
      <c r="BL52" s="5"/>
      <c r="BM52" s="5"/>
      <c r="BN52" s="5"/>
      <c r="BO52" s="5"/>
      <c r="BP52" s="5"/>
      <c r="BQ52" s="5"/>
      <c r="BR52" s="5"/>
      <c r="BS52" s="5"/>
      <c r="BT52" s="5"/>
      <c r="BU52" s="5"/>
      <c r="BV52" s="5" t="s">
        <v>182</v>
      </c>
    </row>
    <row r="53" spans="1:74" x14ac:dyDescent="0.25">
      <c r="A53" s="9" t="s">
        <v>152</v>
      </c>
      <c r="B53" s="2" t="s">
        <v>31</v>
      </c>
      <c r="C53" s="5" t="s">
        <v>182</v>
      </c>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t="s">
        <v>182</v>
      </c>
      <c r="BE53" s="5"/>
      <c r="BF53" s="5"/>
      <c r="BG53" s="5"/>
      <c r="BH53" s="5"/>
      <c r="BI53" s="5"/>
      <c r="BJ53" s="5"/>
      <c r="BK53" s="5"/>
      <c r="BL53" s="5"/>
      <c r="BM53" s="5"/>
      <c r="BN53" s="5"/>
      <c r="BO53" s="5"/>
      <c r="BP53" s="5"/>
      <c r="BQ53" s="5"/>
      <c r="BR53" s="5"/>
      <c r="BS53" s="5"/>
      <c r="BT53" s="5"/>
      <c r="BU53" s="5"/>
      <c r="BV53" s="5" t="s">
        <v>182</v>
      </c>
    </row>
    <row r="54" spans="1:74" x14ac:dyDescent="0.25">
      <c r="A54" s="9" t="s">
        <v>153</v>
      </c>
      <c r="B54" s="2" t="s">
        <v>177</v>
      </c>
      <c r="C54" s="5" t="s">
        <v>182</v>
      </c>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t="s">
        <v>182</v>
      </c>
      <c r="BE54" s="5"/>
      <c r="BF54" s="5"/>
      <c r="BG54" s="5"/>
      <c r="BH54" s="5"/>
      <c r="BI54" s="5"/>
      <c r="BJ54" s="5"/>
      <c r="BK54" s="5"/>
      <c r="BL54" s="5"/>
      <c r="BM54" s="5"/>
      <c r="BN54" s="5"/>
      <c r="BO54" s="5"/>
      <c r="BP54" s="5"/>
      <c r="BQ54" s="5"/>
      <c r="BR54" s="5"/>
      <c r="BS54" s="5"/>
      <c r="BT54" s="5"/>
      <c r="BU54" s="5"/>
      <c r="BV54" s="5" t="s">
        <v>182</v>
      </c>
    </row>
    <row r="55" spans="1:74" x14ac:dyDescent="0.25">
      <c r="A55" s="9" t="s">
        <v>154</v>
      </c>
      <c r="B55" s="2" t="s">
        <v>178</v>
      </c>
      <c r="C55" s="5" t="s">
        <v>25</v>
      </c>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t="s">
        <v>182</v>
      </c>
      <c r="BJ55" s="5"/>
      <c r="BK55" s="5"/>
      <c r="BL55" s="5"/>
      <c r="BM55" s="5"/>
      <c r="BN55" s="5"/>
      <c r="BO55" s="5"/>
      <c r="BP55" s="5"/>
      <c r="BQ55" s="5"/>
      <c r="BR55" s="5"/>
      <c r="BS55" s="5"/>
      <c r="BT55" s="5"/>
      <c r="BU55" s="5"/>
      <c r="BV55" s="5"/>
    </row>
    <row r="56" spans="1:74" x14ac:dyDescent="0.25">
      <c r="A56" s="9" t="s">
        <v>155</v>
      </c>
      <c r="B56" s="2" t="s">
        <v>54</v>
      </c>
      <c r="C56" s="5" t="s">
        <v>25</v>
      </c>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t="s">
        <v>182</v>
      </c>
      <c r="BJ56" s="5"/>
      <c r="BK56" s="5"/>
      <c r="BL56" s="5"/>
      <c r="BM56" s="5"/>
      <c r="BN56" s="5"/>
      <c r="BO56" s="5"/>
      <c r="BP56" s="5"/>
      <c r="BQ56" s="5"/>
      <c r="BR56" s="5"/>
      <c r="BS56" s="5"/>
      <c r="BT56" s="5"/>
      <c r="BU56" s="5"/>
      <c r="BV56" s="5"/>
    </row>
    <row r="57" spans="1:74" x14ac:dyDescent="0.25">
      <c r="A57" s="9" t="s">
        <v>156</v>
      </c>
      <c r="B57" s="2" t="s">
        <v>179</v>
      </c>
      <c r="C57" s="5" t="s">
        <v>25</v>
      </c>
      <c r="D57" s="5"/>
      <c r="E57" s="5" t="s">
        <v>182</v>
      </c>
      <c r="F57" s="5"/>
      <c r="G57" s="5"/>
      <c r="H57" s="5"/>
      <c r="I57" s="5"/>
      <c r="J57" s="5"/>
      <c r="K57" s="5"/>
      <c r="L57" s="5"/>
      <c r="M57" s="5"/>
      <c r="N57" s="5"/>
      <c r="O57" s="5"/>
      <c r="P57" s="5"/>
      <c r="Q57" s="5"/>
      <c r="R57" s="5"/>
      <c r="S57" s="5"/>
      <c r="T57" s="5"/>
      <c r="U57" s="5"/>
      <c r="V57" s="5" t="s">
        <v>182</v>
      </c>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t="s">
        <v>182</v>
      </c>
      <c r="BJ57" s="5"/>
      <c r="BK57" s="5"/>
      <c r="BL57" s="5"/>
      <c r="BM57" s="5"/>
      <c r="BN57" s="5"/>
      <c r="BO57" s="5"/>
      <c r="BP57" s="5"/>
      <c r="BQ57" s="5"/>
      <c r="BR57" s="5"/>
      <c r="BS57" s="5"/>
      <c r="BT57" s="5"/>
      <c r="BU57" s="5"/>
      <c r="BV57" s="5"/>
    </row>
    <row r="58" spans="1:74" x14ac:dyDescent="0.25">
      <c r="A58" s="9" t="s">
        <v>157</v>
      </c>
      <c r="B58" s="2" t="s">
        <v>54</v>
      </c>
      <c r="C58" s="5" t="s">
        <v>25</v>
      </c>
      <c r="D58" s="5"/>
      <c r="E58" s="5"/>
      <c r="F58" s="5"/>
      <c r="G58" s="5"/>
      <c r="H58" s="5"/>
      <c r="I58" s="5"/>
      <c r="J58" s="5"/>
      <c r="K58" s="5" t="s">
        <v>182</v>
      </c>
      <c r="L58" s="5"/>
      <c r="M58" s="5"/>
      <c r="N58" s="5"/>
      <c r="O58" s="5"/>
      <c r="P58" s="5"/>
      <c r="Q58" s="5"/>
      <c r="R58" s="5"/>
      <c r="S58" s="5"/>
      <c r="T58" s="5"/>
      <c r="U58" s="5" t="s">
        <v>182</v>
      </c>
      <c r="V58" s="5"/>
      <c r="W58" s="5" t="s">
        <v>182</v>
      </c>
      <c r="X58" s="5"/>
      <c r="Y58" s="5"/>
      <c r="Z58" s="5" t="s">
        <v>182</v>
      </c>
      <c r="AA58" s="5" t="s">
        <v>182</v>
      </c>
      <c r="AB58" s="5"/>
      <c r="AC58" s="5"/>
      <c r="AD58" s="5"/>
      <c r="AE58" s="5"/>
      <c r="AF58" s="5" t="s">
        <v>182</v>
      </c>
      <c r="AG58" s="5"/>
      <c r="AH58" s="5" t="s">
        <v>182</v>
      </c>
      <c r="AI58" s="5" t="s">
        <v>182</v>
      </c>
      <c r="AJ58" s="5"/>
      <c r="AK58" s="5"/>
      <c r="AL58" s="5" t="s">
        <v>182</v>
      </c>
      <c r="AM58" s="5"/>
      <c r="AN58" s="5"/>
      <c r="AO58" s="5"/>
      <c r="AP58" s="5"/>
      <c r="AQ58" s="5" t="s">
        <v>182</v>
      </c>
      <c r="AR58" s="5"/>
      <c r="AS58" s="5"/>
      <c r="AT58" s="5"/>
      <c r="AU58" s="5"/>
      <c r="AV58" s="5"/>
      <c r="AW58" s="5"/>
      <c r="AX58" s="5"/>
      <c r="AY58" s="5"/>
      <c r="AZ58" s="5"/>
      <c r="BA58" s="5"/>
      <c r="BB58" s="5"/>
      <c r="BC58" s="5"/>
      <c r="BD58" s="5"/>
      <c r="BE58" s="16"/>
      <c r="BF58" s="16" t="s">
        <v>182</v>
      </c>
      <c r="BG58" s="5"/>
      <c r="BH58" s="5"/>
      <c r="BI58" s="5"/>
      <c r="BJ58" s="5" t="s">
        <v>182</v>
      </c>
      <c r="BK58" s="17" t="s">
        <v>182</v>
      </c>
      <c r="BL58" s="5" t="s">
        <v>182</v>
      </c>
      <c r="BM58" s="5" t="s">
        <v>182</v>
      </c>
      <c r="BN58" s="5"/>
      <c r="BO58" s="5"/>
      <c r="BP58" s="5"/>
      <c r="BQ58" s="5" t="s">
        <v>182</v>
      </c>
      <c r="BR58" s="5" t="s">
        <v>182</v>
      </c>
      <c r="BS58" s="5"/>
      <c r="BT58" s="5" t="s">
        <v>182</v>
      </c>
      <c r="BU58" s="5" t="s">
        <v>182</v>
      </c>
      <c r="BV58" s="5" t="s">
        <v>182</v>
      </c>
    </row>
    <row r="59" spans="1:74" x14ac:dyDescent="0.25">
      <c r="A59" s="9" t="s">
        <v>158</v>
      </c>
      <c r="B59" s="2" t="s">
        <v>54</v>
      </c>
      <c r="C59" s="5" t="s">
        <v>25</v>
      </c>
      <c r="D59" s="5"/>
      <c r="E59" s="5"/>
      <c r="F59" s="5"/>
      <c r="G59" s="5"/>
      <c r="H59" s="5"/>
      <c r="I59" s="5"/>
      <c r="J59" s="5"/>
      <c r="K59" s="5"/>
      <c r="L59" s="5"/>
      <c r="M59" s="5"/>
      <c r="N59" s="5"/>
      <c r="O59" s="5"/>
      <c r="P59" s="5"/>
      <c r="Q59" s="5"/>
      <c r="R59" s="5"/>
      <c r="S59" s="5"/>
      <c r="T59" s="5"/>
      <c r="U59" s="5"/>
      <c r="V59" s="5" t="s">
        <v>182</v>
      </c>
      <c r="W59" s="5"/>
      <c r="X59" s="5"/>
      <c r="Y59" s="5"/>
      <c r="Z59" s="5"/>
      <c r="AA59" s="5"/>
      <c r="AB59" s="5"/>
      <c r="AC59" s="5"/>
      <c r="AD59" s="5"/>
      <c r="AE59" s="5" t="s">
        <v>182</v>
      </c>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row>
  </sheetData>
  <mergeCells count="1">
    <mergeCell ref="A3:BV3"/>
  </mergeCells>
  <phoneticPr fontId="4" type="noConversion"/>
  <hyperlinks>
    <hyperlink ref="B6" r:id="rId1" xr:uid="{1EA4EFCD-6AD8-4B5E-B2F3-7852003EB0AB}"/>
    <hyperlink ref="B7" r:id="rId2" xr:uid="{C3A0EE30-99CC-43DD-AC62-3A0AE4938F4B}"/>
    <hyperlink ref="B8" r:id="rId3" xr:uid="{84F0C219-C647-4ED5-8726-940B6248F431}"/>
    <hyperlink ref="B9" r:id="rId4" xr:uid="{B6C6B20F-B4BC-4162-9DEF-CEF1996A8754}"/>
    <hyperlink ref="B15" r:id="rId5" xr:uid="{0D459595-B3FF-47BA-9FB5-8A0134D24A1D}"/>
    <hyperlink ref="B10:B14" r:id="rId6" display="https://adsp.niagads.org/data/contributing-cohorts/" xr:uid="{CA8D4FA2-C094-49BB-9FA5-F8DD56971A1C}"/>
    <hyperlink ref="B16" r:id="rId7" xr:uid="{0D663140-3F88-407E-9E54-333178976110}"/>
    <hyperlink ref="B17" r:id="rId8" xr:uid="{6FC5F635-78B9-46AA-8438-E0415AC2430B}"/>
    <hyperlink ref="B19" r:id="rId9" xr:uid="{69A50C8A-F244-4D7C-94FB-7B442C4CDE92}"/>
    <hyperlink ref="B20:B22" r:id="rId10" display="https://adsp.niagads.org/data/contributing-cohorts/" xr:uid="{05804F0C-69FB-4A33-8648-B749FD150977}"/>
    <hyperlink ref="B18" r:id="rId11" xr:uid="{18CC749E-968B-4CAD-A822-7E8E45F1FFF5}"/>
    <hyperlink ref="B23" r:id="rId12" xr:uid="{8C99B7C1-C605-435D-8C20-381D95AB6BA8}"/>
    <hyperlink ref="B26" r:id="rId13" xr:uid="{118EE182-087D-4CF6-8A34-EA2FB606A0F0}"/>
    <hyperlink ref="B27" r:id="rId14" xr:uid="{9E6F1213-C623-469E-B195-F48EF9B5F5D0}"/>
    <hyperlink ref="B28" r:id="rId15" xr:uid="{3679E938-10E8-4634-AEE8-2E5C7141A3B2}"/>
    <hyperlink ref="B30" r:id="rId16" xr:uid="{D20AD454-16F8-4CD7-B01A-CCE134BAA887}"/>
    <hyperlink ref="B31" r:id="rId17" xr:uid="{DB22E6CD-EBCA-4BB7-9F86-1796F34358ED}"/>
    <hyperlink ref="B32" r:id="rId18" xr:uid="{422C1AB9-715C-4810-8EE9-AEC670F80D7F}"/>
    <hyperlink ref="B33" r:id="rId19" xr:uid="{9F76BDE2-F8FB-43D2-BF07-9E9379A17035}"/>
    <hyperlink ref="B34" r:id="rId20" xr:uid="{E64C4489-8A36-42DE-B7A8-AFA6C518477A}"/>
    <hyperlink ref="B35" r:id="rId21" xr:uid="{4D037542-1753-4103-B566-4D2CA7969ED8}"/>
    <hyperlink ref="B36" r:id="rId22" xr:uid="{9E43CD3D-FDDF-4142-9893-C2546AF2E0FB}"/>
    <hyperlink ref="B37:B38" r:id="rId23" display="https://adsp.niagads.org/data/contributing-cohorts/" xr:uid="{9290303E-103B-492C-9303-D30F6ECDAF42}"/>
    <hyperlink ref="B39" r:id="rId24" xr:uid="{453F4147-427B-41EE-AE3F-62B02A3C945B}"/>
    <hyperlink ref="B40" r:id="rId25" xr:uid="{524C1A37-A044-4914-ABCE-3EDFC2F4FA1E}"/>
    <hyperlink ref="B41:B43" r:id="rId26" display="https://adsp.niagads.org/data/contributing-cohorts/" xr:uid="{808B0681-81AE-436F-8342-4C6B5C7571EC}"/>
    <hyperlink ref="B45" r:id="rId27" xr:uid="{1B08143A-2141-465C-8572-D6A96EEAEDEB}"/>
    <hyperlink ref="B46" r:id="rId28" xr:uid="{E23AA33D-5643-46D0-8933-86FB241030C0}"/>
    <hyperlink ref="B47" r:id="rId29" xr:uid="{4F133DBC-BF0E-4B31-88C6-41338D5038C0}"/>
    <hyperlink ref="B48" r:id="rId30" xr:uid="{1704DE1A-ABDA-4F49-B14A-18E7AE87A7C6}"/>
    <hyperlink ref="B49" r:id="rId31" xr:uid="{CBAF6110-13D7-4624-8079-0D4D9729ABFC}"/>
    <hyperlink ref="B50" r:id="rId32" xr:uid="{43ABE518-45CE-4413-AB38-7024E2E5C9AB}"/>
    <hyperlink ref="B51" r:id="rId33" xr:uid="{C4FA486B-ABBE-4B07-9189-193821FC434D}"/>
    <hyperlink ref="B52" r:id="rId34" xr:uid="{F41295F0-499B-4E1C-84CE-4CDAE3B682AE}"/>
    <hyperlink ref="B53" r:id="rId35" xr:uid="{15B0AE81-5E2D-470A-9C23-05D47BB5056D}"/>
    <hyperlink ref="B54" r:id="rId36" xr:uid="{B82FE9B5-89A9-4721-BA6A-1B88EFAC481E}"/>
    <hyperlink ref="B55" r:id="rId37" xr:uid="{01C5F6D1-D18B-4687-B9D1-8F35BED2A42C}"/>
    <hyperlink ref="B56" r:id="rId38" xr:uid="{4BF0A297-019B-44A5-952B-7D9373974263}"/>
    <hyperlink ref="B57" r:id="rId39" xr:uid="{5E4B1DF6-046A-4E9E-B31B-36E52E0D6B38}"/>
    <hyperlink ref="B58" r:id="rId40" xr:uid="{3A851CEE-1900-405E-8604-45967A848372}"/>
    <hyperlink ref="B59" r:id="rId41" xr:uid="{F555A027-572E-4F91-BDE5-E1773C701DF0}"/>
    <hyperlink ref="B42" r:id="rId42" xr:uid="{397C9ADC-9A9D-435F-ADF9-13B6D3E4B4C1}"/>
  </hyperlinks>
  <pageMargins left="0.7" right="0.7" top="0.75" bottom="0.75" header="0.3" footer="0.3"/>
  <tableParts count="1">
    <tablePart r:id="rId4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FA37D-B506-4F76-B622-A43C92B1EB1A}">
  <dimension ref="A2:BO93"/>
  <sheetViews>
    <sheetView zoomScale="40" zoomScaleNormal="40" workbookViewId="0">
      <selection activeCell="A85" sqref="A85:W85"/>
    </sheetView>
  </sheetViews>
  <sheetFormatPr defaultRowHeight="15" x14ac:dyDescent="0.25"/>
  <cols>
    <col min="1" max="1" width="13" style="5" customWidth="1"/>
    <col min="2" max="2" width="22.28515625" bestFit="1" customWidth="1"/>
    <col min="3" max="3" width="25.85546875" bestFit="1" customWidth="1"/>
    <col min="4" max="4" width="39.140625" customWidth="1"/>
    <col min="5" max="5" width="18.7109375" bestFit="1" customWidth="1"/>
    <col min="6" max="6" width="24.28515625" bestFit="1" customWidth="1"/>
    <col min="7" max="7" width="12.5703125" bestFit="1" customWidth="1"/>
    <col min="8" max="8" width="14.5703125" bestFit="1" customWidth="1"/>
    <col min="9" max="9" width="13.140625" bestFit="1" customWidth="1"/>
    <col min="10" max="10" width="16.140625" bestFit="1" customWidth="1"/>
    <col min="11" max="11" width="13.42578125" bestFit="1" customWidth="1"/>
    <col min="12" max="12" width="15.42578125" bestFit="1" customWidth="1"/>
    <col min="13" max="13" width="13.85546875" bestFit="1" customWidth="1"/>
    <col min="14" max="14" width="12" customWidth="1"/>
    <col min="15" max="15" width="10" customWidth="1"/>
    <col min="16" max="16" width="15.85546875" bestFit="1" customWidth="1"/>
    <col min="17" max="17" width="18" bestFit="1" customWidth="1"/>
    <col min="18" max="18" width="16.42578125" bestFit="1" customWidth="1"/>
    <col min="19" max="20" width="13.42578125" bestFit="1" customWidth="1"/>
    <col min="21" max="21" width="12.5703125" bestFit="1" customWidth="1"/>
    <col min="22" max="22" width="17.42578125" bestFit="1" customWidth="1"/>
    <col min="23" max="23" width="19.5703125" bestFit="1" customWidth="1"/>
    <col min="24" max="24" width="18.140625" bestFit="1" customWidth="1"/>
    <col min="25" max="25" width="20.140625" customWidth="1"/>
    <col min="26" max="26" width="16.140625" bestFit="1" customWidth="1"/>
    <col min="27" max="27" width="15" bestFit="1" customWidth="1"/>
    <col min="28" max="28" width="16.42578125" bestFit="1" customWidth="1"/>
    <col min="29" max="29" width="15.42578125" bestFit="1" customWidth="1"/>
    <col min="30" max="30" width="18.28515625" bestFit="1" customWidth="1"/>
    <col min="31" max="31" width="18.28515625" style="40" customWidth="1"/>
    <col min="32" max="32" width="16.5703125" bestFit="1" customWidth="1"/>
    <col min="33" max="33" width="16.5703125" style="40" customWidth="1"/>
    <col min="34" max="34" width="16.5703125" customWidth="1"/>
    <col min="35" max="35" width="28.28515625" customWidth="1"/>
    <col min="36" max="36" width="12" bestFit="1" customWidth="1"/>
    <col min="37" max="37" width="27.85546875" bestFit="1" customWidth="1"/>
    <col min="38" max="38" width="15.5703125" bestFit="1" customWidth="1"/>
    <col min="39" max="39" width="19.28515625" customWidth="1"/>
    <col min="40" max="40" width="12" bestFit="1" customWidth="1"/>
    <col min="41" max="41" width="11.5703125" bestFit="1" customWidth="1"/>
    <col min="42" max="42" width="16.42578125" bestFit="1" customWidth="1"/>
    <col min="43" max="43" width="31.7109375" bestFit="1" customWidth="1"/>
    <col min="44" max="44" width="36.42578125" bestFit="1" customWidth="1"/>
    <col min="45" max="45" width="25" bestFit="1" customWidth="1"/>
    <col min="46" max="46" width="33.140625" bestFit="1" customWidth="1"/>
    <col min="47" max="47" width="36" bestFit="1" customWidth="1"/>
    <col min="48" max="48" width="21.7109375" bestFit="1" customWidth="1"/>
    <col min="49" max="49" width="21" bestFit="1" customWidth="1"/>
    <col min="50" max="50" width="49.28515625" customWidth="1"/>
    <col min="51" max="51" width="26.85546875" bestFit="1" customWidth="1"/>
    <col min="52" max="52" width="15.42578125" bestFit="1" customWidth="1"/>
    <col min="53" max="57" width="9.5703125" bestFit="1" customWidth="1"/>
    <col min="58" max="64" width="9.5703125" customWidth="1"/>
    <col min="65" max="65" width="9.5703125" style="50" customWidth="1"/>
    <col min="66" max="66" width="9.5703125" customWidth="1"/>
    <col min="67" max="67" width="20.140625" customWidth="1"/>
  </cols>
  <sheetData>
    <row r="2" spans="1:67" x14ac:dyDescent="0.25">
      <c r="A2" s="41" t="s">
        <v>1068</v>
      </c>
    </row>
    <row r="3" spans="1:67" x14ac:dyDescent="0.25">
      <c r="A3" s="169" t="s">
        <v>1051</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row>
    <row r="4" spans="1:67" x14ac:dyDescent="0.25">
      <c r="AE4"/>
      <c r="AG4"/>
      <c r="AV4" s="5"/>
      <c r="AW4" s="5"/>
      <c r="AX4" s="22"/>
      <c r="AY4" s="22"/>
      <c r="AZ4" s="22"/>
      <c r="BA4" s="22"/>
      <c r="BB4" s="22"/>
      <c r="BC4" s="22"/>
      <c r="BD4" s="22"/>
      <c r="BE4" s="22"/>
      <c r="BF4" s="22"/>
      <c r="BG4" s="22"/>
      <c r="BH4" s="22"/>
      <c r="BI4" s="22"/>
      <c r="BJ4" s="22"/>
      <c r="BK4" s="22"/>
      <c r="BL4" s="22"/>
      <c r="BM4" s="22"/>
      <c r="BN4" s="22"/>
      <c r="BO4" s="22"/>
    </row>
    <row r="5" spans="1:67" x14ac:dyDescent="0.25">
      <c r="A5" s="139" t="s">
        <v>181</v>
      </c>
      <c r="B5" s="139"/>
      <c r="C5" s="143" t="s">
        <v>1045</v>
      </c>
      <c r="D5" s="144"/>
      <c r="E5" s="177" t="s">
        <v>190</v>
      </c>
      <c r="F5" s="178"/>
      <c r="G5" s="178"/>
      <c r="H5" s="178"/>
      <c r="I5" s="178"/>
      <c r="J5" s="178"/>
      <c r="K5" s="178"/>
      <c r="L5" s="178"/>
      <c r="M5" s="178"/>
      <c r="N5" s="178"/>
      <c r="O5" s="178"/>
      <c r="P5" s="178"/>
      <c r="Q5" s="178"/>
      <c r="R5" s="178"/>
      <c r="S5" s="178"/>
      <c r="T5" s="178"/>
      <c r="U5" s="178"/>
      <c r="V5" s="178"/>
      <c r="W5" s="178"/>
      <c r="X5" s="178"/>
      <c r="Y5" s="178"/>
      <c r="Z5" s="178"/>
      <c r="AA5" s="179"/>
      <c r="AB5" s="183" t="s">
        <v>189</v>
      </c>
      <c r="AC5" s="184"/>
      <c r="AD5" s="184"/>
      <c r="AE5" s="184"/>
      <c r="AF5" s="185"/>
      <c r="AG5" s="186" t="s">
        <v>188</v>
      </c>
      <c r="AH5" s="187"/>
      <c r="AI5" s="187"/>
      <c r="AJ5" s="187"/>
      <c r="AK5" s="187"/>
      <c r="AL5" s="187"/>
      <c r="AM5" s="187"/>
      <c r="AN5" s="188"/>
      <c r="AO5" s="131" t="s">
        <v>191</v>
      </c>
      <c r="AP5" s="132"/>
      <c r="AQ5" s="132"/>
      <c r="AR5" s="132"/>
      <c r="AS5" s="132"/>
      <c r="AT5" s="132"/>
      <c r="AU5" s="148"/>
      <c r="AV5" s="140" t="s">
        <v>180</v>
      </c>
      <c r="AW5" s="140"/>
      <c r="AX5" s="120" t="s">
        <v>1048</v>
      </c>
      <c r="AY5" s="121"/>
      <c r="AZ5" s="145" t="s">
        <v>6</v>
      </c>
      <c r="BA5" s="146"/>
      <c r="BB5" s="146"/>
      <c r="BC5" s="146"/>
      <c r="BD5" s="146"/>
      <c r="BE5" s="146"/>
      <c r="BF5" s="146"/>
      <c r="BG5" s="146"/>
      <c r="BH5" s="146"/>
      <c r="BI5" s="146"/>
      <c r="BJ5" s="146"/>
      <c r="BK5" s="146"/>
      <c r="BL5" s="146"/>
      <c r="BM5" s="146"/>
      <c r="BN5" s="147"/>
      <c r="BO5" s="124" t="s">
        <v>1049</v>
      </c>
    </row>
    <row r="6" spans="1:67" x14ac:dyDescent="0.25">
      <c r="A6" s="139"/>
      <c r="B6" s="139"/>
      <c r="C6" s="141" t="s">
        <v>1030</v>
      </c>
      <c r="D6" s="142"/>
      <c r="E6" s="180"/>
      <c r="F6" s="181"/>
      <c r="G6" s="181"/>
      <c r="H6" s="181"/>
      <c r="I6" s="181"/>
      <c r="J6" s="181"/>
      <c r="K6" s="181"/>
      <c r="L6" s="181"/>
      <c r="M6" s="181"/>
      <c r="N6" s="181"/>
      <c r="O6" s="181"/>
      <c r="P6" s="181"/>
      <c r="Q6" s="181"/>
      <c r="R6" s="181"/>
      <c r="S6" s="181"/>
      <c r="T6" s="181"/>
      <c r="U6" s="181"/>
      <c r="V6" s="181"/>
      <c r="W6" s="181"/>
      <c r="X6" s="181"/>
      <c r="Y6" s="181"/>
      <c r="Z6" s="181"/>
      <c r="AA6" s="182"/>
      <c r="AB6" s="137" t="s">
        <v>1029</v>
      </c>
      <c r="AC6" s="138"/>
      <c r="AD6" s="135" t="s">
        <v>1030</v>
      </c>
      <c r="AE6" s="135"/>
      <c r="AF6" s="136"/>
      <c r="AG6" s="134" t="s">
        <v>1030</v>
      </c>
      <c r="AH6" s="135"/>
      <c r="AI6" s="135"/>
      <c r="AJ6" s="135"/>
      <c r="AK6" s="135"/>
      <c r="AL6" s="135"/>
      <c r="AM6" s="135"/>
      <c r="AN6" s="136"/>
      <c r="AO6" s="137" t="s">
        <v>1029</v>
      </c>
      <c r="AP6" s="138"/>
      <c r="AQ6" s="138"/>
      <c r="AR6" s="135" t="s">
        <v>1030</v>
      </c>
      <c r="AS6" s="135"/>
      <c r="AT6" s="135"/>
      <c r="AU6" s="136"/>
      <c r="AV6" s="140"/>
      <c r="AW6" s="140"/>
      <c r="AX6" s="122"/>
      <c r="AY6" s="123"/>
      <c r="AZ6" s="149" t="s">
        <v>1029</v>
      </c>
      <c r="BA6" s="150"/>
      <c r="BB6" s="150"/>
      <c r="BC6" s="150"/>
      <c r="BD6" s="150"/>
      <c r="BE6" s="150"/>
      <c r="BF6" s="150"/>
      <c r="BG6" s="151" t="s">
        <v>1030</v>
      </c>
      <c r="BH6" s="151"/>
      <c r="BI6" s="151"/>
      <c r="BJ6" s="151"/>
      <c r="BK6" s="151"/>
      <c r="BL6" s="151"/>
      <c r="BM6" s="151"/>
      <c r="BN6" s="152"/>
      <c r="BO6" s="125"/>
    </row>
    <row r="7" spans="1:67" ht="27.75" customHeight="1" x14ac:dyDescent="0.25">
      <c r="A7" s="3" t="s">
        <v>0</v>
      </c>
      <c r="B7" s="4" t="s">
        <v>1</v>
      </c>
      <c r="C7" s="71" t="s">
        <v>1046</v>
      </c>
      <c r="D7" s="18" t="s">
        <v>1047</v>
      </c>
      <c r="E7" s="71" t="s">
        <v>357</v>
      </c>
      <c r="F7" s="18" t="s">
        <v>358</v>
      </c>
      <c r="G7" s="18" t="s">
        <v>382</v>
      </c>
      <c r="H7" s="18" t="s">
        <v>383</v>
      </c>
      <c r="I7" s="18" t="s">
        <v>391</v>
      </c>
      <c r="J7" s="18" t="s">
        <v>421</v>
      </c>
      <c r="K7" s="18" t="s">
        <v>403</v>
      </c>
      <c r="L7" s="61" t="s">
        <v>429</v>
      </c>
      <c r="M7" s="61" t="s">
        <v>430</v>
      </c>
      <c r="N7" s="18" t="s">
        <v>446</v>
      </c>
      <c r="O7" s="18" t="s">
        <v>445</v>
      </c>
      <c r="P7" s="18" t="s">
        <v>447</v>
      </c>
      <c r="Q7" s="18" t="s">
        <v>451</v>
      </c>
      <c r="R7" s="18" t="s">
        <v>452</v>
      </c>
      <c r="S7" s="18" t="s">
        <v>453</v>
      </c>
      <c r="T7" s="18" t="s">
        <v>458</v>
      </c>
      <c r="U7" s="18" t="s">
        <v>459</v>
      </c>
      <c r="V7" s="18" t="s">
        <v>475</v>
      </c>
      <c r="W7" s="18" t="s">
        <v>476</v>
      </c>
      <c r="X7" s="18" t="s">
        <v>384</v>
      </c>
      <c r="Y7" s="18" t="s">
        <v>455</v>
      </c>
      <c r="Z7" s="18" t="s">
        <v>454</v>
      </c>
      <c r="AA7" s="18" t="s">
        <v>368</v>
      </c>
      <c r="AB7" s="62" t="s">
        <v>1040</v>
      </c>
      <c r="AC7" s="18" t="s">
        <v>1041</v>
      </c>
      <c r="AD7" s="63" t="s">
        <v>1042</v>
      </c>
      <c r="AE7" s="63" t="s">
        <v>1043</v>
      </c>
      <c r="AF7" s="64" t="s">
        <v>1039</v>
      </c>
      <c r="AG7" s="18" t="s">
        <v>183</v>
      </c>
      <c r="AH7" s="18" t="s">
        <v>184</v>
      </c>
      <c r="AI7" s="18" t="s">
        <v>185</v>
      </c>
      <c r="AJ7" s="18" t="s">
        <v>186</v>
      </c>
      <c r="AK7" s="61" t="s">
        <v>187</v>
      </c>
      <c r="AL7" s="18" t="s">
        <v>359</v>
      </c>
      <c r="AM7" s="18" t="s">
        <v>20</v>
      </c>
      <c r="AN7" s="64" t="s">
        <v>1038</v>
      </c>
      <c r="AO7" s="18" t="s">
        <v>1032</v>
      </c>
      <c r="AP7" s="18" t="s">
        <v>1031</v>
      </c>
      <c r="AQ7" s="18" t="s">
        <v>1033</v>
      </c>
      <c r="AR7" s="18" t="s">
        <v>1034</v>
      </c>
      <c r="AS7" s="18" t="s">
        <v>1035</v>
      </c>
      <c r="AT7" s="18" t="s">
        <v>1020</v>
      </c>
      <c r="AU7" s="64" t="s">
        <v>1037</v>
      </c>
      <c r="AV7" s="71" t="s">
        <v>180</v>
      </c>
      <c r="AW7" s="18" t="s">
        <v>385</v>
      </c>
      <c r="AX7" s="18" t="s">
        <v>962</v>
      </c>
      <c r="AY7" s="18" t="s">
        <v>406</v>
      </c>
      <c r="AZ7" s="62" t="s">
        <v>1021</v>
      </c>
      <c r="BA7" s="18" t="s">
        <v>1022</v>
      </c>
      <c r="BB7" s="18" t="s">
        <v>1023</v>
      </c>
      <c r="BC7" s="18" t="s">
        <v>1024</v>
      </c>
      <c r="BD7" s="18" t="s">
        <v>1025</v>
      </c>
      <c r="BE7" s="18" t="s">
        <v>1026</v>
      </c>
      <c r="BF7" s="18" t="s">
        <v>1027</v>
      </c>
      <c r="BG7" s="18" t="s">
        <v>1015</v>
      </c>
      <c r="BH7" s="18" t="s">
        <v>1016</v>
      </c>
      <c r="BI7" s="18" t="s">
        <v>1017</v>
      </c>
      <c r="BJ7" s="18" t="s">
        <v>1028</v>
      </c>
      <c r="BK7" s="18" t="s">
        <v>1018</v>
      </c>
      <c r="BL7" s="18" t="s">
        <v>1019</v>
      </c>
      <c r="BM7" s="65" t="s">
        <v>1036</v>
      </c>
      <c r="BN7" s="64" t="s">
        <v>1044</v>
      </c>
      <c r="BO7" s="67" t="s">
        <v>1050</v>
      </c>
    </row>
    <row r="8" spans="1:67" x14ac:dyDescent="0.25">
      <c r="A8" s="5" t="s">
        <v>263</v>
      </c>
      <c r="B8" s="1" t="s">
        <v>335</v>
      </c>
      <c r="C8" s="72">
        <v>11235</v>
      </c>
      <c r="D8" s="11">
        <v>10634</v>
      </c>
      <c r="E8" s="58">
        <v>0.434</v>
      </c>
      <c r="F8" s="13">
        <v>0.38800000000000001</v>
      </c>
      <c r="G8" s="13">
        <v>4.0000000000000001E-3</v>
      </c>
      <c r="H8" s="13">
        <v>0.17499999999999999</v>
      </c>
      <c r="I8" s="13" t="s">
        <v>16</v>
      </c>
      <c r="J8" s="13" t="s">
        <v>16</v>
      </c>
      <c r="K8" s="13" t="s">
        <v>16</v>
      </c>
      <c r="L8" s="13" t="s">
        <v>16</v>
      </c>
      <c r="M8" s="13" t="s">
        <v>16</v>
      </c>
      <c r="N8" s="13" t="s">
        <v>16</v>
      </c>
      <c r="O8" s="13" t="s">
        <v>16</v>
      </c>
      <c r="P8" s="13" t="s">
        <v>16</v>
      </c>
      <c r="Q8" s="13" t="s">
        <v>16</v>
      </c>
      <c r="R8" s="13" t="s">
        <v>16</v>
      </c>
      <c r="S8" s="13" t="s">
        <v>16</v>
      </c>
      <c r="T8" s="13" t="s">
        <v>16</v>
      </c>
      <c r="U8" s="13" t="s">
        <v>16</v>
      </c>
      <c r="V8" s="13" t="s">
        <v>16</v>
      </c>
      <c r="W8" s="13" t="s">
        <v>16</v>
      </c>
      <c r="X8" s="13" t="s">
        <v>16</v>
      </c>
      <c r="Y8" s="13" t="s">
        <v>16</v>
      </c>
      <c r="Z8" s="13" t="s">
        <v>16</v>
      </c>
      <c r="AA8" s="10"/>
      <c r="AB8" s="58">
        <v>0.58299999999999996</v>
      </c>
      <c r="AC8" s="13">
        <v>0.41699999999999998</v>
      </c>
      <c r="AD8" s="21">
        <f>Tabela46[[#This Row],[Total of samples (N)  ]]*Tabela46[[#This Row],[Females (%)]]</f>
        <v>6550.0049999999992</v>
      </c>
      <c r="AE8" s="21">
        <f>Tabela46[[#This Row],[Total of samples (N)  ]]*AC8</f>
        <v>4684.9949999999999</v>
      </c>
      <c r="AF8" s="55">
        <v>11235</v>
      </c>
      <c r="AG8" s="5">
        <v>1</v>
      </c>
      <c r="AH8" s="5" t="s">
        <v>16</v>
      </c>
      <c r="AI8" s="5">
        <v>32</v>
      </c>
      <c r="AJ8" s="5">
        <v>10742</v>
      </c>
      <c r="AK8" s="5" t="s">
        <v>16</v>
      </c>
      <c r="AL8" s="5">
        <v>451</v>
      </c>
      <c r="AM8" s="5">
        <v>2</v>
      </c>
      <c r="AN8" s="55">
        <v>11228</v>
      </c>
      <c r="AO8" s="13">
        <v>6.7000000000000004E-2</v>
      </c>
      <c r="AP8" s="13">
        <v>0.92400000000000004</v>
      </c>
      <c r="AQ8" s="13">
        <v>0.01</v>
      </c>
      <c r="AR8" s="21">
        <f>Tabela46[[#This Row],[Total of samples (N)]]*Tabela46[[#This Row],[Hispanic or Latino (%)]]</f>
        <v>751.94100000000003</v>
      </c>
      <c r="AS8" s="21">
        <f>Tabela46[[#This Row],[Total of samples (N)]]*Tabela46[[#This Row],[Not Hispanic or Latino (%)]]</f>
        <v>10370.052</v>
      </c>
      <c r="AT8" s="21">
        <f>Tabela46[[#This Row],[Total of samples (N)]]*Tabela46[[#This Row],[NA (%) ]]</f>
        <v>112.23</v>
      </c>
      <c r="AU8" s="55">
        <v>11223</v>
      </c>
      <c r="AV8" s="74" t="s">
        <v>435</v>
      </c>
      <c r="AW8" s="9" t="s">
        <v>393</v>
      </c>
      <c r="AX8" s="9" t="s">
        <v>858</v>
      </c>
      <c r="AY8" s="9" t="s">
        <v>658</v>
      </c>
      <c r="AZ8" s="60">
        <v>6.0000000000000001E-3</v>
      </c>
      <c r="BA8" s="10">
        <v>0.115</v>
      </c>
      <c r="BB8" s="10">
        <v>1.7000000000000001E-2</v>
      </c>
      <c r="BC8" s="10">
        <v>0.57599999999999996</v>
      </c>
      <c r="BD8" s="10">
        <v>0.27</v>
      </c>
      <c r="BE8" s="10">
        <v>1.6E-2</v>
      </c>
      <c r="BF8" s="10">
        <v>0</v>
      </c>
      <c r="BG8" s="21">
        <f>Tabela46[[#This Row],[Total of samples (N)  2]]*Tabela46[[#This Row],[22 (%)]]</f>
        <v>67.41</v>
      </c>
      <c r="BH8" s="21">
        <f>Tabela46[[#This Row],[Total of samples (N)  2]]*Tabela46[[#This Row],[23 (%)]]</f>
        <v>1292.0250000000001</v>
      </c>
      <c r="BI8" s="21">
        <f>Tabela46[[#This Row],[Total of samples (N)  2]]*Tabela46[[#This Row],[24 (%)]]</f>
        <v>190.995</v>
      </c>
      <c r="BJ8" s="21">
        <f>Tabela46[[#This Row],[Total of samples (N)  2]]*Tabela46[[#This Row],[33 (%)]]</f>
        <v>6471.36</v>
      </c>
      <c r="BK8" s="21">
        <f>Tabela46[[#This Row],[Total of samples (N)  2]]*Tabela46[[#This Row],[34 (%)]]</f>
        <v>3033.4500000000003</v>
      </c>
      <c r="BL8" s="21">
        <f>Tabela46[[#This Row],[Total of samples (N)  2]]*Tabela46[[#This Row],[44 (%)]]</f>
        <v>179.76</v>
      </c>
      <c r="BM8" s="21">
        <f>Tabela46[[#This Row],[Total of samples (N)  2]]*Tabela46[[#This Row],[NA (%)]]</f>
        <v>0</v>
      </c>
      <c r="BN8" s="55">
        <v>11235</v>
      </c>
      <c r="BO8" s="68" t="s">
        <v>369</v>
      </c>
    </row>
    <row r="9" spans="1:67" x14ac:dyDescent="0.25">
      <c r="A9" s="5" t="s">
        <v>264</v>
      </c>
      <c r="B9" s="1" t="s">
        <v>336</v>
      </c>
      <c r="C9" s="72">
        <v>3427</v>
      </c>
      <c r="D9" s="5" t="s">
        <v>20</v>
      </c>
      <c r="E9" s="58">
        <v>0.39400000000000002</v>
      </c>
      <c r="F9" s="13">
        <v>0.47299999999999998</v>
      </c>
      <c r="G9" s="13">
        <v>6.0000000000000001E-3</v>
      </c>
      <c r="H9" s="13">
        <v>0.127</v>
      </c>
      <c r="I9" s="13" t="s">
        <v>16</v>
      </c>
      <c r="J9" s="13" t="s">
        <v>16</v>
      </c>
      <c r="K9" s="13" t="s">
        <v>16</v>
      </c>
      <c r="L9" s="13" t="s">
        <v>16</v>
      </c>
      <c r="M9" s="13" t="s">
        <v>16</v>
      </c>
      <c r="N9" s="13" t="s">
        <v>16</v>
      </c>
      <c r="O9" s="13" t="s">
        <v>16</v>
      </c>
      <c r="P9" s="13" t="s">
        <v>16</v>
      </c>
      <c r="Q9" s="13" t="s">
        <v>16</v>
      </c>
      <c r="R9" s="13" t="s">
        <v>16</v>
      </c>
      <c r="S9" s="13" t="s">
        <v>16</v>
      </c>
      <c r="T9" s="13" t="s">
        <v>16</v>
      </c>
      <c r="U9" s="13" t="s">
        <v>16</v>
      </c>
      <c r="V9" s="13" t="s">
        <v>16</v>
      </c>
      <c r="W9" s="13" t="s">
        <v>16</v>
      </c>
      <c r="X9" s="13" t="s">
        <v>16</v>
      </c>
      <c r="Y9" s="13" t="s">
        <v>16</v>
      </c>
      <c r="Z9" s="13" t="s">
        <v>16</v>
      </c>
      <c r="AA9" s="11">
        <v>3399</v>
      </c>
      <c r="AB9" s="58">
        <v>0.66200000000000003</v>
      </c>
      <c r="AC9" s="13">
        <v>0.33800000000000002</v>
      </c>
      <c r="AD9" s="21">
        <f>Tabela46[[#This Row],[Total of samples (N)  ]]*Tabela46[[#This Row],[Females (%)]]</f>
        <v>2250.1379999999999</v>
      </c>
      <c r="AE9" s="21">
        <f>Tabela46[[#This Row],[Total of samples (N)  ]]*AC9</f>
        <v>1148.8620000000001</v>
      </c>
      <c r="AF9" s="55">
        <v>3399</v>
      </c>
      <c r="AG9" s="5">
        <v>2</v>
      </c>
      <c r="AH9" s="5" t="s">
        <v>16</v>
      </c>
      <c r="AI9" s="11">
        <v>1027</v>
      </c>
      <c r="AJ9" s="11">
        <v>1238</v>
      </c>
      <c r="AK9" s="5" t="s">
        <v>16</v>
      </c>
      <c r="AL9" s="11">
        <v>1130</v>
      </c>
      <c r="AM9" s="5">
        <v>2</v>
      </c>
      <c r="AN9" s="55">
        <v>3399</v>
      </c>
      <c r="AO9" s="13">
        <v>0.36399999999999999</v>
      </c>
      <c r="AP9" s="13">
        <v>0.63300000000000001</v>
      </c>
      <c r="AQ9" s="13">
        <v>3.0000000000000001E-3</v>
      </c>
      <c r="AR9" s="21">
        <f>Tabela46[[#This Row],[Total of samples (N)]]*Tabela46[[#This Row],[Hispanic or Latino (%)]]</f>
        <v>1237.2359999999999</v>
      </c>
      <c r="AS9" s="21">
        <f>Tabela46[[#This Row],[Total of samples (N)]]*Tabela46[[#This Row],[Not Hispanic or Latino (%)]]</f>
        <v>2151.567</v>
      </c>
      <c r="AT9" s="21">
        <f>Tabela46[[#This Row],[Total of samples (N)]]*Tabela46[[#This Row],[NA (%) ]]</f>
        <v>10.197000000000001</v>
      </c>
      <c r="AU9" s="55">
        <v>3399</v>
      </c>
      <c r="AV9" s="74" t="s">
        <v>50</v>
      </c>
      <c r="AW9" s="9" t="s">
        <v>20</v>
      </c>
      <c r="AX9" s="9" t="s">
        <v>495</v>
      </c>
      <c r="AY9" s="9" t="s">
        <v>20</v>
      </c>
      <c r="AZ9" s="60">
        <v>5.0000000000000001E-3</v>
      </c>
      <c r="BA9" s="10">
        <v>0.106</v>
      </c>
      <c r="BB9" s="10">
        <v>2.8000000000000001E-2</v>
      </c>
      <c r="BC9" s="10">
        <v>0.51500000000000001</v>
      </c>
      <c r="BD9" s="10">
        <v>0.28999999999999998</v>
      </c>
      <c r="BE9" s="10">
        <v>5.5E-2</v>
      </c>
      <c r="BF9" s="10">
        <v>1E-3</v>
      </c>
      <c r="BG9" s="21">
        <f>Tabela46[[#This Row],[Total of samples (N)  2]]*Tabela46[[#This Row],[22 (%)]]</f>
        <v>16.995000000000001</v>
      </c>
      <c r="BH9" s="21">
        <f>Tabela46[[#This Row],[Total of samples (N)  2]]*Tabela46[[#This Row],[23 (%)]]</f>
        <v>360.29399999999998</v>
      </c>
      <c r="BI9" s="21">
        <f>Tabela46[[#This Row],[Total of samples (N)  2]]*Tabela46[[#This Row],[24 (%)]]</f>
        <v>95.171999999999997</v>
      </c>
      <c r="BJ9" s="21">
        <f>Tabela46[[#This Row],[Total of samples (N)  2]]*Tabela46[[#This Row],[33 (%)]]</f>
        <v>1750.4850000000001</v>
      </c>
      <c r="BK9" s="21">
        <f>Tabela46[[#This Row],[Total of samples (N)  2]]*Tabela46[[#This Row],[34 (%)]]</f>
        <v>985.70999999999992</v>
      </c>
      <c r="BL9" s="21">
        <f>Tabela46[[#This Row],[Total of samples (N)  2]]*Tabela46[[#This Row],[44 (%)]]</f>
        <v>186.94499999999999</v>
      </c>
      <c r="BM9" s="21">
        <f>Tabela46[[#This Row],[Total of samples (N)  2]]*Tabela46[[#This Row],[NA (%)]]</f>
        <v>3.399</v>
      </c>
      <c r="BN9" s="55">
        <v>3399</v>
      </c>
      <c r="BO9" s="68" t="s">
        <v>20</v>
      </c>
    </row>
    <row r="10" spans="1:67" x14ac:dyDescent="0.25">
      <c r="A10" s="5" t="s">
        <v>265</v>
      </c>
      <c r="B10" s="1" t="s">
        <v>337</v>
      </c>
      <c r="C10" s="73">
        <v>818</v>
      </c>
      <c r="D10" s="5" t="s">
        <v>20</v>
      </c>
      <c r="E10" s="58">
        <v>0.29499999999999998</v>
      </c>
      <c r="F10" s="13">
        <v>0.308</v>
      </c>
      <c r="G10" s="13">
        <v>0.39700000000000002</v>
      </c>
      <c r="H10" s="13" t="s">
        <v>16</v>
      </c>
      <c r="I10" s="13" t="s">
        <v>16</v>
      </c>
      <c r="J10" s="13" t="s">
        <v>16</v>
      </c>
      <c r="K10" s="13" t="s">
        <v>16</v>
      </c>
      <c r="L10" s="13" t="s">
        <v>16</v>
      </c>
      <c r="M10" s="13" t="s">
        <v>16</v>
      </c>
      <c r="N10" s="13" t="s">
        <v>16</v>
      </c>
      <c r="O10" s="13" t="s">
        <v>16</v>
      </c>
      <c r="P10" s="13" t="s">
        <v>16</v>
      </c>
      <c r="Q10" s="13" t="s">
        <v>16</v>
      </c>
      <c r="R10" s="13" t="s">
        <v>16</v>
      </c>
      <c r="S10" s="13" t="s">
        <v>16</v>
      </c>
      <c r="T10" s="13" t="s">
        <v>16</v>
      </c>
      <c r="U10" s="13" t="s">
        <v>16</v>
      </c>
      <c r="V10" s="13" t="s">
        <v>16</v>
      </c>
      <c r="W10" s="13" t="s">
        <v>16</v>
      </c>
      <c r="X10" s="13" t="s">
        <v>16</v>
      </c>
      <c r="Y10" s="13" t="s">
        <v>16</v>
      </c>
      <c r="Z10" s="13" t="s">
        <v>16</v>
      </c>
      <c r="AA10" s="5">
        <v>808</v>
      </c>
      <c r="AB10" s="58">
        <v>0.44800000000000001</v>
      </c>
      <c r="AC10" s="13">
        <v>0.55200000000000005</v>
      </c>
      <c r="AD10" s="21">
        <f>Tabela46[[#This Row],[Total of samples (N)  ]]*Tabela46[[#This Row],[Females (%)]]</f>
        <v>361.98399999999998</v>
      </c>
      <c r="AE10" s="21">
        <f>Tabela46[[#This Row],[Total of samples (N)  ]]*AC10</f>
        <v>446.01600000000002</v>
      </c>
      <c r="AF10" s="56">
        <v>808</v>
      </c>
      <c r="AG10" s="5">
        <v>2</v>
      </c>
      <c r="AH10" s="5">
        <v>10</v>
      </c>
      <c r="AI10" s="5">
        <v>28</v>
      </c>
      <c r="AJ10" s="5">
        <v>756</v>
      </c>
      <c r="AK10" s="5">
        <v>2</v>
      </c>
      <c r="AL10" s="5">
        <v>10</v>
      </c>
      <c r="AM10" s="5" t="s">
        <v>16</v>
      </c>
      <c r="AN10" s="56">
        <v>808</v>
      </c>
      <c r="AO10" s="13">
        <v>2.4E-2</v>
      </c>
      <c r="AP10" s="13">
        <v>0.97</v>
      </c>
      <c r="AQ10" s="13">
        <v>6.0000000000000001E-3</v>
      </c>
      <c r="AR10" s="21">
        <f>Tabela46[[#This Row],[Total of samples (N)]]*Tabela46[[#This Row],[Hispanic or Latino (%)]]</f>
        <v>19.391999999999999</v>
      </c>
      <c r="AS10" s="21">
        <f>Tabela46[[#This Row],[Total of samples (N)]]*Tabela46[[#This Row],[Not Hispanic or Latino (%)]]</f>
        <v>783.76</v>
      </c>
      <c r="AT10" s="21">
        <f>Tabela46[[#This Row],[Total of samples (N)]]*Tabela46[[#This Row],[NA (%) ]]</f>
        <v>4.8479999999999999</v>
      </c>
      <c r="AU10" s="56">
        <v>808</v>
      </c>
      <c r="AV10" s="74" t="s">
        <v>50</v>
      </c>
      <c r="AW10" s="9" t="s">
        <v>20</v>
      </c>
      <c r="AX10" s="9" t="s">
        <v>496</v>
      </c>
      <c r="AY10" s="9" t="s">
        <v>20</v>
      </c>
      <c r="AZ10" s="60">
        <v>1E-3</v>
      </c>
      <c r="BA10" s="10">
        <v>8.6999999999999994E-2</v>
      </c>
      <c r="BB10" s="10">
        <v>1.9E-2</v>
      </c>
      <c r="BC10" s="10">
        <v>0.501</v>
      </c>
      <c r="BD10" s="10">
        <v>0.32200000000000001</v>
      </c>
      <c r="BE10" s="10">
        <v>7.0999999999999994E-2</v>
      </c>
      <c r="BF10" s="10" t="s">
        <v>16</v>
      </c>
      <c r="BG10" s="21">
        <f>Tabela46[[#This Row],[Total of samples (N)  2]]*Tabela46[[#This Row],[22 (%)]]</f>
        <v>0.80800000000000005</v>
      </c>
      <c r="BH10" s="21">
        <f>Tabela46[[#This Row],[Total of samples (N)  2]]*Tabela46[[#This Row],[23 (%)]]</f>
        <v>70.295999999999992</v>
      </c>
      <c r="BI10" s="21">
        <f>Tabela46[[#This Row],[Total of samples (N)  2]]*Tabela46[[#This Row],[24 (%)]]</f>
        <v>15.352</v>
      </c>
      <c r="BJ10" s="21">
        <f>Tabela46[[#This Row],[Total of samples (N)  2]]*Tabela46[[#This Row],[33 (%)]]</f>
        <v>404.80799999999999</v>
      </c>
      <c r="BK10" s="21">
        <f>Tabela46[[#This Row],[Total of samples (N)  2]]*Tabela46[[#This Row],[34 (%)]]</f>
        <v>260.17599999999999</v>
      </c>
      <c r="BL10" s="21">
        <f>Tabela46[[#This Row],[Total of samples (N)  2]]*Tabela46[[#This Row],[44 (%)]]</f>
        <v>57.367999999999995</v>
      </c>
      <c r="BM10" s="21" t="s">
        <v>16</v>
      </c>
      <c r="BN10" s="56">
        <v>808</v>
      </c>
      <c r="BO10" s="68" t="s">
        <v>20</v>
      </c>
    </row>
    <row r="11" spans="1:67" x14ac:dyDescent="0.25">
      <c r="A11" s="5" t="s">
        <v>266</v>
      </c>
      <c r="B11" s="1" t="s">
        <v>338</v>
      </c>
      <c r="C11" s="72">
        <v>3226</v>
      </c>
      <c r="D11" s="11">
        <v>2763</v>
      </c>
      <c r="E11" s="58">
        <v>0.37</v>
      </c>
      <c r="F11" s="13">
        <v>0.49299999999999999</v>
      </c>
      <c r="G11" s="13" t="s">
        <v>367</v>
      </c>
      <c r="H11" s="13">
        <v>0.13600000000000001</v>
      </c>
      <c r="I11" s="13" t="s">
        <v>16</v>
      </c>
      <c r="J11" s="13" t="s">
        <v>16</v>
      </c>
      <c r="K11" s="13" t="s">
        <v>16</v>
      </c>
      <c r="L11" s="13" t="s">
        <v>16</v>
      </c>
      <c r="M11" s="13" t="s">
        <v>16</v>
      </c>
      <c r="N11" s="13" t="s">
        <v>16</v>
      </c>
      <c r="O11" s="13" t="s">
        <v>16</v>
      </c>
      <c r="P11" s="13" t="s">
        <v>16</v>
      </c>
      <c r="Q11" s="13" t="s">
        <v>16</v>
      </c>
      <c r="R11" s="13" t="s">
        <v>16</v>
      </c>
      <c r="S11" s="13" t="s">
        <v>16</v>
      </c>
      <c r="T11" s="13" t="s">
        <v>16</v>
      </c>
      <c r="U11" s="13" t="s">
        <v>16</v>
      </c>
      <c r="V11" s="13" t="s">
        <v>16</v>
      </c>
      <c r="W11" s="13" t="s">
        <v>16</v>
      </c>
      <c r="X11" s="13" t="s">
        <v>16</v>
      </c>
      <c r="Y11" s="13" t="s">
        <v>16</v>
      </c>
      <c r="Z11" s="13" t="s">
        <v>16</v>
      </c>
      <c r="AA11" s="11">
        <v>3158</v>
      </c>
      <c r="AB11" s="58">
        <v>0.71399999999999997</v>
      </c>
      <c r="AC11" s="13">
        <v>0.28599999999999998</v>
      </c>
      <c r="AD11" s="21">
        <f>Tabela46[[#This Row],[Total of samples (N)  ]]*Tabela46[[#This Row],[Females (%)]]</f>
        <v>2254.8119999999999</v>
      </c>
      <c r="AE11" s="21">
        <f>Tabela46[[#This Row],[Total of samples (N)  ]]*AC11</f>
        <v>903.18799999999987</v>
      </c>
      <c r="AF11" s="55">
        <v>3158</v>
      </c>
      <c r="AG11" s="5" t="s">
        <v>16</v>
      </c>
      <c r="AH11" s="5" t="s">
        <v>16</v>
      </c>
      <c r="AI11" s="11">
        <v>3155</v>
      </c>
      <c r="AJ11" s="5">
        <v>3</v>
      </c>
      <c r="AK11" s="5" t="s">
        <v>16</v>
      </c>
      <c r="AL11" s="5" t="s">
        <v>16</v>
      </c>
      <c r="AM11" s="5" t="s">
        <v>16</v>
      </c>
      <c r="AN11" s="55">
        <v>3158</v>
      </c>
      <c r="AO11" s="13">
        <v>1E-3</v>
      </c>
      <c r="AP11" s="13">
        <v>0.98699999999999999</v>
      </c>
      <c r="AQ11" s="13">
        <v>1.0999999999999999E-2</v>
      </c>
      <c r="AR11" s="21">
        <f>Tabela46[[#This Row],[Total of samples (N)]]*Tabela46[[#This Row],[Hispanic or Latino (%)]]</f>
        <v>3.1579999999999999</v>
      </c>
      <c r="AS11" s="21">
        <f>Tabela46[[#This Row],[Total of samples (N)]]*Tabela46[[#This Row],[Not Hispanic or Latino (%)]]</f>
        <v>3116.9459999999999</v>
      </c>
      <c r="AT11" s="21">
        <f>Tabela46[[#This Row],[Total of samples (N)]]*Tabela46[[#This Row],[NA (%) ]]</f>
        <v>34.738</v>
      </c>
      <c r="AU11" s="55">
        <v>3158</v>
      </c>
      <c r="AV11" s="74" t="s">
        <v>52</v>
      </c>
      <c r="AW11" s="9" t="s">
        <v>16</v>
      </c>
      <c r="AX11" s="9" t="s">
        <v>497</v>
      </c>
      <c r="AY11" s="9" t="s">
        <v>411</v>
      </c>
      <c r="AZ11" s="60">
        <v>8.0000000000000002E-3</v>
      </c>
      <c r="BA11" s="10">
        <v>0.11600000000000001</v>
      </c>
      <c r="BB11" s="10">
        <v>5.1999999999999998E-2</v>
      </c>
      <c r="BC11" s="10">
        <v>0.38300000000000001</v>
      </c>
      <c r="BD11" s="10">
        <v>0.35499999999999998</v>
      </c>
      <c r="BE11" s="10">
        <v>8.3000000000000004E-2</v>
      </c>
      <c r="BF11" s="10">
        <v>4.0000000000000001E-3</v>
      </c>
      <c r="BG11" s="21">
        <f>Tabela46[[#This Row],[Total of samples (N)  2]]*Tabela46[[#This Row],[22 (%)]]</f>
        <v>25.263999999999999</v>
      </c>
      <c r="BH11" s="21">
        <f>Tabela46[[#This Row],[Total of samples (N)  2]]*Tabela46[[#This Row],[23 (%)]]</f>
        <v>366.32800000000003</v>
      </c>
      <c r="BI11" s="21">
        <f>Tabela46[[#This Row],[Total of samples (N)  2]]*Tabela46[[#This Row],[24 (%)]]</f>
        <v>164.21599999999998</v>
      </c>
      <c r="BJ11" s="21">
        <f>Tabela46[[#This Row],[Total of samples (N)  2]]*Tabela46[[#This Row],[33 (%)]]</f>
        <v>1209.5140000000001</v>
      </c>
      <c r="BK11" s="21">
        <f>Tabela46[[#This Row],[Total of samples (N)  2]]*Tabela46[[#This Row],[34 (%)]]</f>
        <v>1121.0899999999999</v>
      </c>
      <c r="BL11" s="21">
        <f>Tabela46[[#This Row],[Total of samples (N)  2]]*Tabela46[[#This Row],[44 (%)]]</f>
        <v>262.11400000000003</v>
      </c>
      <c r="BM11" s="21">
        <f>Tabela46[[#This Row],[Total of samples (N)  2]]*Tabela46[[#This Row],[NA (%)]]</f>
        <v>12.632</v>
      </c>
      <c r="BN11" s="55">
        <v>3158</v>
      </c>
      <c r="BO11" s="68" t="s">
        <v>369</v>
      </c>
    </row>
    <row r="12" spans="1:67" x14ac:dyDescent="0.25">
      <c r="A12" s="5" t="s">
        <v>267</v>
      </c>
      <c r="B12" s="1" t="s">
        <v>339</v>
      </c>
      <c r="C12" s="72">
        <v>1104</v>
      </c>
      <c r="D12" s="11">
        <v>1041</v>
      </c>
      <c r="E12" s="58">
        <v>0.67900000000000005</v>
      </c>
      <c r="F12" s="13">
        <v>0.23100000000000001</v>
      </c>
      <c r="G12" s="13">
        <v>0.05</v>
      </c>
      <c r="H12" s="13">
        <v>0.04</v>
      </c>
      <c r="I12" s="13" t="s">
        <v>16</v>
      </c>
      <c r="J12" s="13" t="s">
        <v>16</v>
      </c>
      <c r="K12" s="13" t="s">
        <v>16</v>
      </c>
      <c r="L12" s="13" t="s">
        <v>16</v>
      </c>
      <c r="M12" s="13" t="s">
        <v>16</v>
      </c>
      <c r="N12" s="13" t="s">
        <v>16</v>
      </c>
      <c r="O12" s="13" t="s">
        <v>16</v>
      </c>
      <c r="P12" s="13" t="s">
        <v>16</v>
      </c>
      <c r="Q12" s="13" t="s">
        <v>16</v>
      </c>
      <c r="R12" s="13" t="s">
        <v>16</v>
      </c>
      <c r="S12" s="13" t="s">
        <v>16</v>
      </c>
      <c r="T12" s="13" t="s">
        <v>16</v>
      </c>
      <c r="U12" s="13" t="s">
        <v>16</v>
      </c>
      <c r="V12" s="13" t="s">
        <v>16</v>
      </c>
      <c r="W12" s="13" t="s">
        <v>16</v>
      </c>
      <c r="X12" s="13" t="s">
        <v>16</v>
      </c>
      <c r="Y12" s="13" t="s">
        <v>16</v>
      </c>
      <c r="Z12" s="13" t="s">
        <v>16</v>
      </c>
      <c r="AA12" s="11">
        <v>1100</v>
      </c>
      <c r="AB12" s="58">
        <v>0.60899999999999999</v>
      </c>
      <c r="AC12" s="13">
        <v>0.39100000000000001</v>
      </c>
      <c r="AD12" s="21">
        <f>Tabela46[[#This Row],[Total of samples (N)  ]]*Tabela46[[#This Row],[Females (%)]]</f>
        <v>669.9</v>
      </c>
      <c r="AE12" s="21">
        <f>Tabela46[[#This Row],[Total of samples (N)  ]]*AC12</f>
        <v>430.1</v>
      </c>
      <c r="AF12" s="55">
        <v>1100</v>
      </c>
      <c r="AG12" s="5">
        <v>4</v>
      </c>
      <c r="AH12" s="5" t="s">
        <v>16</v>
      </c>
      <c r="AI12" s="5" t="s">
        <v>16</v>
      </c>
      <c r="AJ12" s="11">
        <v>1096</v>
      </c>
      <c r="AK12" s="5" t="s">
        <v>16</v>
      </c>
      <c r="AL12" s="5" t="s">
        <v>16</v>
      </c>
      <c r="AM12" s="5" t="s">
        <v>16</v>
      </c>
      <c r="AN12" s="55">
        <v>1100</v>
      </c>
      <c r="AO12" s="13">
        <v>8.9999999999999993E-3</v>
      </c>
      <c r="AP12" s="13">
        <v>0.99099999999999999</v>
      </c>
      <c r="AQ12" s="13" t="s">
        <v>16</v>
      </c>
      <c r="AR12" s="21">
        <f>Tabela46[[#This Row],[Total of samples (N)]]*Tabela46[[#This Row],[Hispanic or Latino (%)]]</f>
        <v>9.8999999999999986</v>
      </c>
      <c r="AS12" s="21">
        <f>Tabela46[[#This Row],[Total of samples (N)]]*Tabela46[[#This Row],[Not Hispanic or Latino (%)]]</f>
        <v>1090.0999999999999</v>
      </c>
      <c r="AT12" s="21" t="s">
        <v>16</v>
      </c>
      <c r="AU12" s="55">
        <v>1100</v>
      </c>
      <c r="AV12" s="74" t="s">
        <v>52</v>
      </c>
      <c r="AW12" s="9" t="s">
        <v>393</v>
      </c>
      <c r="AX12" s="9" t="s">
        <v>480</v>
      </c>
      <c r="AY12" s="9" t="s">
        <v>422</v>
      </c>
      <c r="AZ12" s="60">
        <v>2E-3</v>
      </c>
      <c r="BA12" s="10">
        <v>2.5000000000000001E-2</v>
      </c>
      <c r="BB12" s="10">
        <v>0.02</v>
      </c>
      <c r="BC12" s="10">
        <v>0.30299999999999999</v>
      </c>
      <c r="BD12" s="10">
        <v>0.505</v>
      </c>
      <c r="BE12" s="10">
        <v>0.14499999999999999</v>
      </c>
      <c r="BF12" s="10" t="s">
        <v>16</v>
      </c>
      <c r="BG12" s="21">
        <f>Tabela46[[#This Row],[Total of samples (N)  2]]*Tabela46[[#This Row],[22 (%)]]</f>
        <v>2.2000000000000002</v>
      </c>
      <c r="BH12" s="21">
        <f>Tabela46[[#This Row],[Total of samples (N)  2]]*Tabela46[[#This Row],[23 (%)]]</f>
        <v>27.5</v>
      </c>
      <c r="BI12" s="21">
        <f>Tabela46[[#This Row],[Total of samples (N)  2]]*Tabela46[[#This Row],[24 (%)]]</f>
        <v>22</v>
      </c>
      <c r="BJ12" s="21">
        <f>Tabela46[[#This Row],[Total of samples (N)  2]]*Tabela46[[#This Row],[33 (%)]]</f>
        <v>333.3</v>
      </c>
      <c r="BK12" s="21">
        <f>Tabela46[[#This Row],[Total of samples (N)  2]]*Tabela46[[#This Row],[34 (%)]]</f>
        <v>555.5</v>
      </c>
      <c r="BL12" s="21">
        <f>Tabela46[[#This Row],[Total of samples (N)  2]]*Tabela46[[#This Row],[44 (%)]]</f>
        <v>159.5</v>
      </c>
      <c r="BM12" s="21" t="s">
        <v>16</v>
      </c>
      <c r="BN12" s="55">
        <v>1100</v>
      </c>
      <c r="BO12" s="68" t="s">
        <v>369</v>
      </c>
    </row>
    <row r="13" spans="1:67" x14ac:dyDescent="0.25">
      <c r="A13" s="5" t="s">
        <v>268</v>
      </c>
      <c r="B13" s="1" t="s">
        <v>340</v>
      </c>
      <c r="C13" s="73">
        <v>77</v>
      </c>
      <c r="D13" s="5">
        <v>65</v>
      </c>
      <c r="E13" s="58">
        <v>0.8</v>
      </c>
      <c r="F13" s="13" t="s">
        <v>16</v>
      </c>
      <c r="G13" s="13">
        <v>0.2</v>
      </c>
      <c r="H13" s="13" t="s">
        <v>16</v>
      </c>
      <c r="I13" s="13" t="s">
        <v>16</v>
      </c>
      <c r="J13" s="13" t="s">
        <v>16</v>
      </c>
      <c r="K13" s="13" t="s">
        <v>16</v>
      </c>
      <c r="L13" s="13" t="s">
        <v>16</v>
      </c>
      <c r="M13" s="13" t="s">
        <v>16</v>
      </c>
      <c r="N13" s="13" t="s">
        <v>16</v>
      </c>
      <c r="O13" s="13" t="s">
        <v>16</v>
      </c>
      <c r="P13" s="13" t="s">
        <v>16</v>
      </c>
      <c r="Q13" s="13" t="s">
        <v>16</v>
      </c>
      <c r="R13" s="13" t="s">
        <v>16</v>
      </c>
      <c r="S13" s="13" t="s">
        <v>16</v>
      </c>
      <c r="T13" s="13" t="s">
        <v>16</v>
      </c>
      <c r="U13" s="13" t="s">
        <v>16</v>
      </c>
      <c r="V13" s="13" t="s">
        <v>16</v>
      </c>
      <c r="W13" s="13" t="s">
        <v>16</v>
      </c>
      <c r="X13" s="13" t="s">
        <v>16</v>
      </c>
      <c r="Y13" s="13" t="s">
        <v>16</v>
      </c>
      <c r="Z13" s="13" t="s">
        <v>16</v>
      </c>
      <c r="AA13" s="5">
        <v>75</v>
      </c>
      <c r="AB13" s="58">
        <v>0.64</v>
      </c>
      <c r="AC13" s="13">
        <v>0.36</v>
      </c>
      <c r="AD13" s="21">
        <f>Tabela46[[#This Row],[Total of samples (N)  ]]*Tabela46[[#This Row],[Females (%)]]</f>
        <v>48</v>
      </c>
      <c r="AE13" s="21">
        <f>Tabela46[[#This Row],[Total of samples (N)  ]]*AC13</f>
        <v>27</v>
      </c>
      <c r="AF13" s="56">
        <v>75</v>
      </c>
      <c r="AG13" s="5" t="s">
        <v>16</v>
      </c>
      <c r="AH13" s="5" t="s">
        <v>16</v>
      </c>
      <c r="AI13" s="5">
        <v>5</v>
      </c>
      <c r="AJ13" s="5">
        <v>65</v>
      </c>
      <c r="AK13" s="5" t="s">
        <v>16</v>
      </c>
      <c r="AL13" s="5">
        <v>5</v>
      </c>
      <c r="AM13" s="5" t="s">
        <v>16</v>
      </c>
      <c r="AN13" s="56">
        <v>75</v>
      </c>
      <c r="AO13" s="13">
        <v>0.21299999999999999</v>
      </c>
      <c r="AP13" s="13">
        <v>0.56000000000000005</v>
      </c>
      <c r="AQ13" s="13">
        <v>0.22700000000000001</v>
      </c>
      <c r="AR13" s="21">
        <f>Tabela46[[#This Row],[Total of samples (N)]]*Tabela46[[#This Row],[Hispanic or Latino (%)]]</f>
        <v>15.975</v>
      </c>
      <c r="AS13" s="21">
        <f>Tabela46[[#This Row],[Total of samples (N)]]*Tabela46[[#This Row],[Not Hispanic or Latino (%)]]</f>
        <v>42.000000000000007</v>
      </c>
      <c r="AT13" s="21">
        <f>Tabela46[[#This Row],[Total of samples (N)]]*Tabela46[[#This Row],[NA (%) ]]</f>
        <v>17.025000000000002</v>
      </c>
      <c r="AU13" s="56">
        <v>75</v>
      </c>
      <c r="AV13" s="74" t="s">
        <v>52</v>
      </c>
      <c r="AW13" s="9" t="s">
        <v>393</v>
      </c>
      <c r="AX13" s="9" t="s">
        <v>480</v>
      </c>
      <c r="AY13" s="9" t="s">
        <v>423</v>
      </c>
      <c r="AZ13" s="60" t="s">
        <v>16</v>
      </c>
      <c r="BA13" s="10">
        <v>1.2999999999999999E-2</v>
      </c>
      <c r="BB13" s="10">
        <v>1.2999999999999999E-2</v>
      </c>
      <c r="BC13" s="10">
        <v>0.307</v>
      </c>
      <c r="BD13" s="10">
        <v>0.28000000000000003</v>
      </c>
      <c r="BE13" s="10">
        <v>0.16</v>
      </c>
      <c r="BF13" s="10">
        <v>0.22700000000000001</v>
      </c>
      <c r="BG13" s="21" t="s">
        <v>16</v>
      </c>
      <c r="BH13" s="21">
        <f>Tabela46[[#This Row],[Total of samples (N)  2]]*Tabela46[[#This Row],[23 (%)]]</f>
        <v>0.97499999999999998</v>
      </c>
      <c r="BI13" s="21">
        <f>Tabela46[[#This Row],[Total of samples (N)  2]]*Tabela46[[#This Row],[24 (%)]]</f>
        <v>0.97499999999999998</v>
      </c>
      <c r="BJ13" s="21">
        <f>Tabela46[[#This Row],[Total of samples (N)  2]]*Tabela46[[#This Row],[33 (%)]]</f>
        <v>23.024999999999999</v>
      </c>
      <c r="BK13" s="21">
        <f>Tabela46[[#This Row],[Total of samples (N)  2]]*Tabela46[[#This Row],[34 (%)]]</f>
        <v>21.000000000000004</v>
      </c>
      <c r="BL13" s="21">
        <f>Tabela46[[#This Row],[Total of samples (N)  2]]*Tabela46[[#This Row],[44 (%)]]</f>
        <v>12</v>
      </c>
      <c r="BM13" s="21">
        <f>Tabela46[[#This Row],[Total of samples (N)  2]]*Tabela46[[#This Row],[NA (%)]]</f>
        <v>17.025000000000002</v>
      </c>
      <c r="BN13" s="56">
        <v>75</v>
      </c>
      <c r="BO13" s="68" t="s">
        <v>369</v>
      </c>
    </row>
    <row r="14" spans="1:67" x14ac:dyDescent="0.25">
      <c r="A14" s="5" t="s">
        <v>269</v>
      </c>
      <c r="B14" s="1" t="s">
        <v>341</v>
      </c>
      <c r="C14" s="73">
        <v>114</v>
      </c>
      <c r="D14" s="5">
        <v>59</v>
      </c>
      <c r="E14" s="58">
        <v>0.79600000000000004</v>
      </c>
      <c r="F14" s="13">
        <v>0.16700000000000001</v>
      </c>
      <c r="G14" s="13">
        <v>8.9999999999999993E-3</v>
      </c>
      <c r="H14" s="13">
        <v>2.8000000000000001E-2</v>
      </c>
      <c r="I14" s="13" t="s">
        <v>16</v>
      </c>
      <c r="J14" s="13" t="s">
        <v>16</v>
      </c>
      <c r="K14" s="13" t="s">
        <v>16</v>
      </c>
      <c r="L14" s="13" t="s">
        <v>16</v>
      </c>
      <c r="M14" s="13" t="s">
        <v>16</v>
      </c>
      <c r="N14" s="13" t="s">
        <v>16</v>
      </c>
      <c r="O14" s="13" t="s">
        <v>16</v>
      </c>
      <c r="P14" s="13" t="s">
        <v>16</v>
      </c>
      <c r="Q14" s="13" t="s">
        <v>16</v>
      </c>
      <c r="R14" s="13" t="s">
        <v>16</v>
      </c>
      <c r="S14" s="13" t="s">
        <v>16</v>
      </c>
      <c r="T14" s="13" t="s">
        <v>16</v>
      </c>
      <c r="U14" s="13" t="s">
        <v>16</v>
      </c>
      <c r="V14" s="13" t="s">
        <v>16</v>
      </c>
      <c r="W14" s="13" t="s">
        <v>16</v>
      </c>
      <c r="X14" s="13" t="s">
        <v>16</v>
      </c>
      <c r="Y14" s="13" t="s">
        <v>16</v>
      </c>
      <c r="Z14" s="13" t="s">
        <v>16</v>
      </c>
      <c r="AA14" s="5">
        <v>108</v>
      </c>
      <c r="AB14" s="58">
        <v>0.60199999999999998</v>
      </c>
      <c r="AC14" s="13">
        <v>0.39800000000000002</v>
      </c>
      <c r="AD14" s="21">
        <f>Tabela46[[#This Row],[Total of samples (N)  ]]*Tabela46[[#This Row],[Females (%)]]</f>
        <v>65.015999999999991</v>
      </c>
      <c r="AE14" s="21">
        <f>Tabela46[[#This Row],[Total of samples (N)  ]]*AC14</f>
        <v>42.984000000000002</v>
      </c>
      <c r="AF14" s="56">
        <v>108</v>
      </c>
      <c r="AG14" s="5" t="s">
        <v>16</v>
      </c>
      <c r="AH14" s="5" t="s">
        <v>16</v>
      </c>
      <c r="AI14" s="5" t="s">
        <v>16</v>
      </c>
      <c r="AJ14" s="5">
        <v>108</v>
      </c>
      <c r="AK14" s="5" t="s">
        <v>16</v>
      </c>
      <c r="AL14" s="5" t="s">
        <v>16</v>
      </c>
      <c r="AM14" s="5" t="s">
        <v>16</v>
      </c>
      <c r="AN14" s="56">
        <v>108</v>
      </c>
      <c r="AO14" s="13" t="s">
        <v>16</v>
      </c>
      <c r="AP14" s="13">
        <v>0.5</v>
      </c>
      <c r="AQ14" s="13">
        <v>0.5</v>
      </c>
      <c r="AR14" s="21" t="s">
        <v>16</v>
      </c>
      <c r="AS14" s="21">
        <f>Tabela46[[#This Row],[Total of samples (N)]]*Tabela46[[#This Row],[Not Hispanic or Latino (%)]]</f>
        <v>52</v>
      </c>
      <c r="AT14" s="21">
        <f>Tabela46[[#This Row],[Total of samples (N)]]*Tabela46[[#This Row],[NA (%) ]]</f>
        <v>52</v>
      </c>
      <c r="AU14" s="56">
        <v>104</v>
      </c>
      <c r="AV14" s="74" t="s">
        <v>52</v>
      </c>
      <c r="AW14" s="9" t="s">
        <v>392</v>
      </c>
      <c r="AX14" s="9" t="s">
        <v>498</v>
      </c>
      <c r="AY14" s="9" t="s">
        <v>420</v>
      </c>
      <c r="AZ14" s="60" t="s">
        <v>16</v>
      </c>
      <c r="BA14" s="10">
        <v>3.6999999999999998E-2</v>
      </c>
      <c r="BB14" s="10">
        <v>2.8000000000000001E-2</v>
      </c>
      <c r="BC14" s="10">
        <v>0.45400000000000001</v>
      </c>
      <c r="BD14" s="10">
        <v>0.46300000000000002</v>
      </c>
      <c r="BE14" s="10">
        <v>1.9E-2</v>
      </c>
      <c r="BF14" s="10" t="s">
        <v>16</v>
      </c>
      <c r="BG14" s="21" t="s">
        <v>16</v>
      </c>
      <c r="BH14" s="21">
        <f>Tabela46[[#This Row],[Total of samples (N)  2]]*Tabela46[[#This Row],[23 (%)]]</f>
        <v>3.996</v>
      </c>
      <c r="BI14" s="21">
        <f>Tabela46[[#This Row],[Total of samples (N)  2]]*Tabela46[[#This Row],[24 (%)]]</f>
        <v>3.024</v>
      </c>
      <c r="BJ14" s="21">
        <f>Tabela46[[#This Row],[Total of samples (N)  2]]*Tabela46[[#This Row],[33 (%)]]</f>
        <v>49.032000000000004</v>
      </c>
      <c r="BK14" s="21">
        <f>Tabela46[[#This Row],[Total of samples (N)  2]]*Tabela46[[#This Row],[34 (%)]]</f>
        <v>50.004000000000005</v>
      </c>
      <c r="BL14" s="21">
        <f>Tabela46[[#This Row],[Total of samples (N)  2]]*Tabela46[[#This Row],[44 (%)]]</f>
        <v>2.052</v>
      </c>
      <c r="BM14" s="21" t="s">
        <v>16</v>
      </c>
      <c r="BN14" s="56">
        <v>108</v>
      </c>
      <c r="BO14" s="68" t="s">
        <v>243</v>
      </c>
    </row>
    <row r="15" spans="1:67" x14ac:dyDescent="0.25">
      <c r="A15" s="5" t="s">
        <v>270</v>
      </c>
      <c r="B15" s="1" t="s">
        <v>342</v>
      </c>
      <c r="C15" s="72">
        <v>3855</v>
      </c>
      <c r="D15" s="11">
        <v>3170</v>
      </c>
      <c r="E15" s="58">
        <v>0.21099999999999999</v>
      </c>
      <c r="F15" s="13">
        <v>0.76800000000000002</v>
      </c>
      <c r="G15" s="13" t="s">
        <v>16</v>
      </c>
      <c r="H15" s="13">
        <v>2.1999999999999999E-2</v>
      </c>
      <c r="I15" s="13" t="s">
        <v>16</v>
      </c>
      <c r="J15" s="13" t="s">
        <v>16</v>
      </c>
      <c r="K15" s="13" t="s">
        <v>16</v>
      </c>
      <c r="L15" s="13" t="s">
        <v>16</v>
      </c>
      <c r="M15" s="13" t="s">
        <v>16</v>
      </c>
      <c r="N15" s="13" t="s">
        <v>16</v>
      </c>
      <c r="O15" s="13" t="s">
        <v>16</v>
      </c>
      <c r="P15" s="13" t="s">
        <v>16</v>
      </c>
      <c r="Q15" s="13" t="s">
        <v>16</v>
      </c>
      <c r="R15" s="13" t="s">
        <v>16</v>
      </c>
      <c r="S15" s="13" t="s">
        <v>16</v>
      </c>
      <c r="T15" s="13" t="s">
        <v>16</v>
      </c>
      <c r="U15" s="13" t="s">
        <v>16</v>
      </c>
      <c r="V15" s="13" t="s">
        <v>16</v>
      </c>
      <c r="W15" s="13" t="s">
        <v>16</v>
      </c>
      <c r="X15" s="13" t="s">
        <v>16</v>
      </c>
      <c r="Y15" s="13" t="s">
        <v>16</v>
      </c>
      <c r="Z15" s="13" t="s">
        <v>16</v>
      </c>
      <c r="AA15" s="11">
        <v>3858</v>
      </c>
      <c r="AB15" s="58">
        <v>0.68300000000000005</v>
      </c>
      <c r="AC15" s="13">
        <v>0.317</v>
      </c>
      <c r="AD15" s="21">
        <f>Tabela46[[#This Row],[Total of samples (N)  ]]*Tabela46[[#This Row],[Females (%)]]</f>
        <v>1799.0220000000002</v>
      </c>
      <c r="AE15" s="21">
        <f>Tabela46[[#This Row],[Total of samples (N)  ]]*AC15</f>
        <v>834.97800000000007</v>
      </c>
      <c r="AF15" s="55">
        <v>2634</v>
      </c>
      <c r="AG15" s="5">
        <v>1</v>
      </c>
      <c r="AH15" s="5" t="s">
        <v>16</v>
      </c>
      <c r="AI15" s="11">
        <v>1118</v>
      </c>
      <c r="AJ15" s="5">
        <v>887</v>
      </c>
      <c r="AK15" s="5" t="s">
        <v>16</v>
      </c>
      <c r="AL15" s="11">
        <v>1805</v>
      </c>
      <c r="AM15" s="5" t="s">
        <v>16</v>
      </c>
      <c r="AN15" s="55">
        <v>3811</v>
      </c>
      <c r="AO15" s="13">
        <v>0.46700000000000003</v>
      </c>
      <c r="AP15" s="13">
        <v>0.53300000000000003</v>
      </c>
      <c r="AQ15" s="13" t="s">
        <v>16</v>
      </c>
      <c r="AR15" s="21">
        <f>Tabela46[[#This Row],[Total of samples (N)]]*Tabela46[[#This Row],[Hispanic or Latino (%)]]</f>
        <v>1801.6860000000001</v>
      </c>
      <c r="AS15" s="21">
        <f>Tabela46[[#This Row],[Total of samples (N)]]*Tabela46[[#This Row],[Not Hispanic or Latino (%)]]</f>
        <v>2056.3140000000003</v>
      </c>
      <c r="AT15" s="21" t="s">
        <v>16</v>
      </c>
      <c r="AU15" s="55">
        <v>3858</v>
      </c>
      <c r="AV15" s="74" t="s">
        <v>52</v>
      </c>
      <c r="AW15" s="9" t="s">
        <v>393</v>
      </c>
      <c r="AX15" s="9" t="s">
        <v>480</v>
      </c>
      <c r="AY15" s="8" t="s">
        <v>436</v>
      </c>
      <c r="AZ15" s="60">
        <v>6.0000000000000001E-3</v>
      </c>
      <c r="BA15" s="10">
        <v>0.13</v>
      </c>
      <c r="BB15" s="10">
        <v>2.7E-2</v>
      </c>
      <c r="BC15" s="10">
        <v>0.59399999999999997</v>
      </c>
      <c r="BD15" s="10">
        <v>0.224</v>
      </c>
      <c r="BE15" s="10">
        <v>1.7000000000000001E-2</v>
      </c>
      <c r="BF15" s="10">
        <v>1E-3</v>
      </c>
      <c r="BG15" s="21">
        <f>Tabela46[[#This Row],[Total of samples (N)  2]]*Tabela46[[#This Row],[22 (%)]]</f>
        <v>23.148</v>
      </c>
      <c r="BH15" s="21">
        <f>Tabela46[[#This Row],[Total of samples (N)  2]]*Tabela46[[#This Row],[23 (%)]]</f>
        <v>501.54</v>
      </c>
      <c r="BI15" s="21">
        <f>Tabela46[[#This Row],[Total of samples (N)  2]]*Tabela46[[#This Row],[24 (%)]]</f>
        <v>104.166</v>
      </c>
      <c r="BJ15" s="21">
        <f>Tabela46[[#This Row],[Total of samples (N)  2]]*Tabela46[[#This Row],[33 (%)]]</f>
        <v>2291.652</v>
      </c>
      <c r="BK15" s="21">
        <f>Tabela46[[#This Row],[Total of samples (N)  2]]*Tabela46[[#This Row],[34 (%)]]</f>
        <v>864.19200000000001</v>
      </c>
      <c r="BL15" s="21">
        <f>Tabela46[[#This Row],[Total of samples (N)  2]]*Tabela46[[#This Row],[44 (%)]]</f>
        <v>65.585999999999999</v>
      </c>
      <c r="BM15" s="21">
        <f>Tabela46[[#This Row],[Total of samples (N)  2]]*Tabela46[[#This Row],[NA (%)]]</f>
        <v>3.8580000000000001</v>
      </c>
      <c r="BN15" s="55">
        <v>3858</v>
      </c>
      <c r="BO15" s="68" t="s">
        <v>369</v>
      </c>
    </row>
    <row r="16" spans="1:67" x14ac:dyDescent="0.25">
      <c r="A16" s="5" t="s">
        <v>271</v>
      </c>
      <c r="B16" s="1" t="s">
        <v>343</v>
      </c>
      <c r="C16" s="73">
        <v>661</v>
      </c>
      <c r="D16" s="5">
        <v>650</v>
      </c>
      <c r="E16" s="58">
        <v>0.443</v>
      </c>
      <c r="F16" s="13">
        <v>0.45200000000000001</v>
      </c>
      <c r="G16" s="13" t="s">
        <v>16</v>
      </c>
      <c r="H16" s="13">
        <v>0.105</v>
      </c>
      <c r="I16" s="13" t="s">
        <v>16</v>
      </c>
      <c r="J16" s="13" t="s">
        <v>16</v>
      </c>
      <c r="K16" s="13" t="s">
        <v>16</v>
      </c>
      <c r="L16" s="13" t="s">
        <v>16</v>
      </c>
      <c r="M16" s="13" t="s">
        <v>16</v>
      </c>
      <c r="N16" s="13" t="s">
        <v>16</v>
      </c>
      <c r="O16" s="13" t="s">
        <v>16</v>
      </c>
      <c r="P16" s="13" t="s">
        <v>16</v>
      </c>
      <c r="Q16" s="13" t="s">
        <v>16</v>
      </c>
      <c r="R16" s="13" t="s">
        <v>16</v>
      </c>
      <c r="S16" s="13" t="s">
        <v>16</v>
      </c>
      <c r="T16" s="13" t="s">
        <v>16</v>
      </c>
      <c r="U16" s="13" t="s">
        <v>16</v>
      </c>
      <c r="V16" s="13" t="s">
        <v>16</v>
      </c>
      <c r="W16" s="13" t="s">
        <v>16</v>
      </c>
      <c r="X16" s="13" t="s">
        <v>16</v>
      </c>
      <c r="Y16" s="13" t="s">
        <v>16</v>
      </c>
      <c r="Z16" s="13" t="s">
        <v>16</v>
      </c>
      <c r="AA16" s="5">
        <v>650</v>
      </c>
      <c r="AB16" s="58">
        <v>0.51500000000000001</v>
      </c>
      <c r="AC16" s="13">
        <v>0.48499999999999999</v>
      </c>
      <c r="AD16" s="21">
        <f>Tabela46[[#This Row],[Total of samples (N)  ]]*Tabela46[[#This Row],[Females (%)]]</f>
        <v>334.75</v>
      </c>
      <c r="AE16" s="21">
        <f>Tabela46[[#This Row],[Total of samples (N)  ]]*AC16</f>
        <v>315.25</v>
      </c>
      <c r="AF16" s="56">
        <v>650</v>
      </c>
      <c r="AG16" s="5" t="s">
        <v>16</v>
      </c>
      <c r="AH16" s="5">
        <v>2</v>
      </c>
      <c r="AI16" s="5">
        <v>31</v>
      </c>
      <c r="AJ16" s="5">
        <v>614</v>
      </c>
      <c r="AK16" s="5" t="s">
        <v>16</v>
      </c>
      <c r="AL16" s="5">
        <v>3</v>
      </c>
      <c r="AM16" s="5" t="s">
        <v>16</v>
      </c>
      <c r="AN16" s="56">
        <v>650</v>
      </c>
      <c r="AO16" s="13">
        <v>3.0000000000000001E-3</v>
      </c>
      <c r="AP16" s="13">
        <v>0.64600000000000002</v>
      </c>
      <c r="AQ16" s="13">
        <v>0.35099999999999998</v>
      </c>
      <c r="AR16" s="21">
        <f>Tabela46[[#This Row],[Total of samples (N)]]*Tabela46[[#This Row],[Hispanic or Latino (%)]]</f>
        <v>1.95</v>
      </c>
      <c r="AS16" s="21">
        <f>Tabela46[[#This Row],[Total of samples (N)]]*Tabela46[[#This Row],[Not Hispanic or Latino (%)]]</f>
        <v>419.90000000000003</v>
      </c>
      <c r="AT16" s="21">
        <f>Tabela46[[#This Row],[Total of samples (N)]]*Tabela46[[#This Row],[NA (%) ]]</f>
        <v>228.14999999999998</v>
      </c>
      <c r="AU16" s="56">
        <v>650</v>
      </c>
      <c r="AV16" s="74" t="s">
        <v>52</v>
      </c>
      <c r="AW16" s="9" t="s">
        <v>393</v>
      </c>
      <c r="AX16" s="9" t="s">
        <v>499</v>
      </c>
      <c r="AY16" s="9" t="s">
        <v>444</v>
      </c>
      <c r="AZ16" s="60">
        <v>5.0000000000000001E-3</v>
      </c>
      <c r="BA16" s="10">
        <v>9.1999999999999998E-2</v>
      </c>
      <c r="BB16" s="10">
        <v>3.6999999999999998E-2</v>
      </c>
      <c r="BC16" s="10">
        <v>0.47699999999999998</v>
      </c>
      <c r="BD16" s="10">
        <v>0.30499999999999999</v>
      </c>
      <c r="BE16" s="10">
        <v>6.3E-2</v>
      </c>
      <c r="BF16" s="10">
        <v>2.1999999999999999E-2</v>
      </c>
      <c r="BG16" s="21">
        <f>Tabela46[[#This Row],[Total of samples (N)  2]]*Tabela46[[#This Row],[22 (%)]]</f>
        <v>3.25</v>
      </c>
      <c r="BH16" s="21">
        <f>Tabela46[[#This Row],[Total of samples (N)  2]]*Tabela46[[#This Row],[23 (%)]]</f>
        <v>59.8</v>
      </c>
      <c r="BI16" s="21">
        <f>Tabela46[[#This Row],[Total of samples (N)  2]]*Tabela46[[#This Row],[24 (%)]]</f>
        <v>24.049999999999997</v>
      </c>
      <c r="BJ16" s="21">
        <f>Tabela46[[#This Row],[Total of samples (N)  2]]*Tabela46[[#This Row],[33 (%)]]</f>
        <v>310.05</v>
      </c>
      <c r="BK16" s="21">
        <f>Tabela46[[#This Row],[Total of samples (N)  2]]*Tabela46[[#This Row],[34 (%)]]</f>
        <v>198.25</v>
      </c>
      <c r="BL16" s="21">
        <f>Tabela46[[#This Row],[Total of samples (N)  2]]*Tabela46[[#This Row],[44 (%)]]</f>
        <v>40.950000000000003</v>
      </c>
      <c r="BM16" s="21">
        <f>Tabela46[[#This Row],[Total of samples (N)  2]]*Tabela46[[#This Row],[NA (%)]]</f>
        <v>14.299999999999999</v>
      </c>
      <c r="BN16" s="56">
        <v>650</v>
      </c>
      <c r="BO16" s="68" t="s">
        <v>369</v>
      </c>
    </row>
    <row r="17" spans="1:67" x14ac:dyDescent="0.25">
      <c r="A17" s="5" t="s">
        <v>272</v>
      </c>
      <c r="B17" s="1" t="s">
        <v>344</v>
      </c>
      <c r="C17" s="73">
        <v>361</v>
      </c>
      <c r="D17" s="5">
        <v>335</v>
      </c>
      <c r="E17" s="58" t="s">
        <v>16</v>
      </c>
      <c r="F17" s="13" t="s">
        <v>16</v>
      </c>
      <c r="G17" s="13" t="s">
        <v>16</v>
      </c>
      <c r="H17" s="13" t="s">
        <v>16</v>
      </c>
      <c r="I17" s="13" t="s">
        <v>16</v>
      </c>
      <c r="J17" s="13" t="s">
        <v>16</v>
      </c>
      <c r="K17" s="13">
        <v>1</v>
      </c>
      <c r="L17" s="13" t="s">
        <v>16</v>
      </c>
      <c r="M17" s="13" t="s">
        <v>16</v>
      </c>
      <c r="N17" s="13" t="s">
        <v>16</v>
      </c>
      <c r="O17" s="13" t="s">
        <v>16</v>
      </c>
      <c r="P17" s="13" t="s">
        <v>16</v>
      </c>
      <c r="Q17" s="13" t="s">
        <v>16</v>
      </c>
      <c r="R17" s="13" t="s">
        <v>16</v>
      </c>
      <c r="S17" s="13" t="s">
        <v>16</v>
      </c>
      <c r="T17" s="13" t="s">
        <v>16</v>
      </c>
      <c r="U17" s="13" t="s">
        <v>16</v>
      </c>
      <c r="V17" s="13" t="s">
        <v>16</v>
      </c>
      <c r="W17" s="13" t="s">
        <v>16</v>
      </c>
      <c r="X17" s="13" t="s">
        <v>16</v>
      </c>
      <c r="Y17" s="13" t="s">
        <v>16</v>
      </c>
      <c r="Z17" s="13" t="s">
        <v>16</v>
      </c>
      <c r="AA17" s="5">
        <v>346</v>
      </c>
      <c r="AB17" s="58">
        <v>0.45100000000000001</v>
      </c>
      <c r="AC17" s="13">
        <v>0.54900000000000004</v>
      </c>
      <c r="AD17" s="21">
        <f>Tabela46[[#This Row],[Total of samples (N)  ]]*Tabela46[[#This Row],[Females (%)]]</f>
        <v>156.04599999999999</v>
      </c>
      <c r="AE17" s="21">
        <f>Tabela46[[#This Row],[Total of samples (N)  ]]*AC17</f>
        <v>189.95400000000001</v>
      </c>
      <c r="AF17" s="56">
        <v>346</v>
      </c>
      <c r="AG17" s="5" t="s">
        <v>16</v>
      </c>
      <c r="AH17" s="5" t="s">
        <v>16</v>
      </c>
      <c r="AI17" s="5" t="s">
        <v>16</v>
      </c>
      <c r="AJ17" s="5">
        <v>346</v>
      </c>
      <c r="AK17" s="5" t="s">
        <v>16</v>
      </c>
      <c r="AL17" s="5" t="s">
        <v>16</v>
      </c>
      <c r="AM17" s="5" t="s">
        <v>16</v>
      </c>
      <c r="AN17" s="56">
        <v>346</v>
      </c>
      <c r="AO17" s="13" t="s">
        <v>16</v>
      </c>
      <c r="AP17" s="13" t="s">
        <v>16</v>
      </c>
      <c r="AQ17" s="13" t="s">
        <v>16</v>
      </c>
      <c r="AR17" s="21" t="s">
        <v>16</v>
      </c>
      <c r="AS17" s="21" t="s">
        <v>16</v>
      </c>
      <c r="AT17" s="21" t="s">
        <v>16</v>
      </c>
      <c r="AU17" s="57" t="s">
        <v>16</v>
      </c>
      <c r="AV17" s="74" t="s">
        <v>52</v>
      </c>
      <c r="AW17" s="9" t="s">
        <v>392</v>
      </c>
      <c r="AX17" s="9" t="s">
        <v>500</v>
      </c>
      <c r="AY17" s="9" t="s">
        <v>410</v>
      </c>
      <c r="AZ17" s="60" t="s">
        <v>16</v>
      </c>
      <c r="BA17" s="10" t="s">
        <v>16</v>
      </c>
      <c r="BB17" s="10" t="s">
        <v>16</v>
      </c>
      <c r="BC17" s="10" t="s">
        <v>16</v>
      </c>
      <c r="BD17" s="10" t="s">
        <v>16</v>
      </c>
      <c r="BE17" s="10" t="s">
        <v>16</v>
      </c>
      <c r="BF17" s="10" t="s">
        <v>16</v>
      </c>
      <c r="BG17" s="21" t="s">
        <v>16</v>
      </c>
      <c r="BH17" s="21" t="s">
        <v>16</v>
      </c>
      <c r="BI17" s="21" t="s">
        <v>16</v>
      </c>
      <c r="BJ17" s="21" t="s">
        <v>16</v>
      </c>
      <c r="BK17" s="21" t="s">
        <v>16</v>
      </c>
      <c r="BL17" s="21" t="s">
        <v>16</v>
      </c>
      <c r="BM17" s="21" t="s">
        <v>16</v>
      </c>
      <c r="BN17" s="57" t="s">
        <v>16</v>
      </c>
      <c r="BO17" s="68" t="s">
        <v>243</v>
      </c>
    </row>
    <row r="18" spans="1:67" x14ac:dyDescent="0.25">
      <c r="A18" s="5" t="s">
        <v>273</v>
      </c>
      <c r="B18" s="1" t="s">
        <v>345</v>
      </c>
      <c r="C18" s="73">
        <v>705</v>
      </c>
      <c r="D18" s="5">
        <v>549</v>
      </c>
      <c r="E18" s="58" t="s">
        <v>16</v>
      </c>
      <c r="F18" s="13" t="s">
        <v>16</v>
      </c>
      <c r="G18" s="13" t="s">
        <v>16</v>
      </c>
      <c r="H18" s="13" t="s">
        <v>16</v>
      </c>
      <c r="I18" s="13">
        <v>0.998</v>
      </c>
      <c r="J18" s="13" t="s">
        <v>16</v>
      </c>
      <c r="K18" s="13">
        <v>2E-3</v>
      </c>
      <c r="L18" s="13" t="s">
        <v>16</v>
      </c>
      <c r="M18" s="13" t="s">
        <v>16</v>
      </c>
      <c r="N18" s="13" t="s">
        <v>16</v>
      </c>
      <c r="O18" s="13" t="s">
        <v>16</v>
      </c>
      <c r="P18" s="13" t="s">
        <v>16</v>
      </c>
      <c r="Q18" s="13" t="s">
        <v>16</v>
      </c>
      <c r="R18" s="13" t="s">
        <v>16</v>
      </c>
      <c r="S18" s="13" t="s">
        <v>16</v>
      </c>
      <c r="T18" s="13" t="s">
        <v>16</v>
      </c>
      <c r="U18" s="13" t="s">
        <v>16</v>
      </c>
      <c r="V18" s="13" t="s">
        <v>16</v>
      </c>
      <c r="W18" s="13" t="s">
        <v>16</v>
      </c>
      <c r="X18" s="13" t="s">
        <v>16</v>
      </c>
      <c r="Y18" s="13" t="s">
        <v>16</v>
      </c>
      <c r="Z18" s="13" t="s">
        <v>16</v>
      </c>
      <c r="AA18" s="5">
        <v>550</v>
      </c>
      <c r="AB18" s="58">
        <v>0.45300000000000001</v>
      </c>
      <c r="AC18" s="13">
        <v>0.54700000000000004</v>
      </c>
      <c r="AD18" s="21">
        <f>Tabela46[[#This Row],[Total of samples (N)  ]]*Tabela46[[#This Row],[Females (%)]]</f>
        <v>249.15</v>
      </c>
      <c r="AE18" s="21">
        <f>Tabela46[[#This Row],[Total of samples (N)  ]]*AC18</f>
        <v>300.85000000000002</v>
      </c>
      <c r="AF18" s="56">
        <v>550</v>
      </c>
      <c r="AG18" s="5" t="s">
        <v>16</v>
      </c>
      <c r="AH18" s="5" t="s">
        <v>16</v>
      </c>
      <c r="AI18" s="5" t="s">
        <v>16</v>
      </c>
      <c r="AJ18" s="5">
        <v>550</v>
      </c>
      <c r="AK18" s="5" t="s">
        <v>16</v>
      </c>
      <c r="AL18" s="5" t="s">
        <v>16</v>
      </c>
      <c r="AM18" s="5" t="s">
        <v>16</v>
      </c>
      <c r="AN18" s="56">
        <v>550</v>
      </c>
      <c r="AO18" s="13" t="s">
        <v>16</v>
      </c>
      <c r="AP18" s="13" t="s">
        <v>16</v>
      </c>
      <c r="AQ18" s="13" t="s">
        <v>16</v>
      </c>
      <c r="AR18" s="21" t="s">
        <v>16</v>
      </c>
      <c r="AS18" s="21" t="s">
        <v>16</v>
      </c>
      <c r="AT18" s="21" t="s">
        <v>16</v>
      </c>
      <c r="AU18" s="57" t="s">
        <v>16</v>
      </c>
      <c r="AV18" s="74" t="s">
        <v>52</v>
      </c>
      <c r="AW18" s="9" t="s">
        <v>409</v>
      </c>
      <c r="AX18" s="9" t="s">
        <v>501</v>
      </c>
      <c r="AY18" s="9" t="s">
        <v>407</v>
      </c>
      <c r="AZ18" s="60" t="s">
        <v>16</v>
      </c>
      <c r="BA18" s="10" t="s">
        <v>16</v>
      </c>
      <c r="BB18" s="10" t="s">
        <v>16</v>
      </c>
      <c r="BC18" s="10" t="s">
        <v>16</v>
      </c>
      <c r="BD18" s="10" t="s">
        <v>16</v>
      </c>
      <c r="BE18" s="10" t="s">
        <v>16</v>
      </c>
      <c r="BF18" s="10" t="s">
        <v>16</v>
      </c>
      <c r="BG18" s="21" t="s">
        <v>16</v>
      </c>
      <c r="BH18" s="21" t="s">
        <v>16</v>
      </c>
      <c r="BI18" s="21" t="s">
        <v>16</v>
      </c>
      <c r="BJ18" s="21" t="s">
        <v>16</v>
      </c>
      <c r="BK18" s="21" t="s">
        <v>16</v>
      </c>
      <c r="BL18" s="21" t="s">
        <v>16</v>
      </c>
      <c r="BM18" s="21" t="s">
        <v>16</v>
      </c>
      <c r="BN18" s="57" t="s">
        <v>16</v>
      </c>
      <c r="BO18" s="68" t="s">
        <v>408</v>
      </c>
    </row>
    <row r="19" spans="1:67" x14ac:dyDescent="0.25">
      <c r="A19" s="5" t="s">
        <v>274</v>
      </c>
      <c r="B19" s="1" t="s">
        <v>346</v>
      </c>
      <c r="C19" s="73" t="s">
        <v>20</v>
      </c>
      <c r="D19" s="11">
        <v>1326</v>
      </c>
      <c r="E19" s="58">
        <v>0.55500000000000005</v>
      </c>
      <c r="F19" s="13">
        <v>0.35299999999999998</v>
      </c>
      <c r="G19" s="13" t="s">
        <v>16</v>
      </c>
      <c r="H19" s="13">
        <v>2.9000000000000001E-2</v>
      </c>
      <c r="I19" s="13">
        <v>6.3E-2</v>
      </c>
      <c r="J19" s="13" t="s">
        <v>16</v>
      </c>
      <c r="K19" s="13" t="s">
        <v>16</v>
      </c>
      <c r="L19" s="13"/>
      <c r="M19" s="13"/>
      <c r="N19" s="13" t="s">
        <v>16</v>
      </c>
      <c r="O19" s="13" t="s">
        <v>16</v>
      </c>
      <c r="P19" s="13" t="s">
        <v>16</v>
      </c>
      <c r="Q19" s="13" t="s">
        <v>16</v>
      </c>
      <c r="R19" s="13" t="s">
        <v>16</v>
      </c>
      <c r="S19" s="13" t="s">
        <v>16</v>
      </c>
      <c r="T19" s="13" t="s">
        <v>16</v>
      </c>
      <c r="U19" s="13" t="s">
        <v>16</v>
      </c>
      <c r="V19" s="13" t="s">
        <v>16</v>
      </c>
      <c r="W19" s="13" t="s">
        <v>16</v>
      </c>
      <c r="X19" s="13" t="s">
        <v>16</v>
      </c>
      <c r="Y19" s="13" t="s">
        <v>16</v>
      </c>
      <c r="Z19" s="13" t="s">
        <v>16</v>
      </c>
      <c r="AA19" s="11">
        <v>1326</v>
      </c>
      <c r="AB19" s="58">
        <v>0.64800000000000002</v>
      </c>
      <c r="AC19" s="13">
        <v>0.35199999999999998</v>
      </c>
      <c r="AD19" s="21">
        <f>Tabela46[[#This Row],[Total of samples (N)  ]]*Tabela46[[#This Row],[Females (%)]]</f>
        <v>859.24800000000005</v>
      </c>
      <c r="AE19" s="21">
        <f>Tabela46[[#This Row],[Total of samples (N)  ]]*AC19</f>
        <v>466.75199999999995</v>
      </c>
      <c r="AF19" s="55">
        <v>1326</v>
      </c>
      <c r="AG19" s="5" t="s">
        <v>16</v>
      </c>
      <c r="AH19" s="5">
        <v>1</v>
      </c>
      <c r="AI19" s="5">
        <v>33</v>
      </c>
      <c r="AJ19" s="11">
        <v>1261</v>
      </c>
      <c r="AK19" s="5" t="s">
        <v>16</v>
      </c>
      <c r="AL19" s="5">
        <v>23</v>
      </c>
      <c r="AM19" s="5">
        <v>8</v>
      </c>
      <c r="AN19" s="55">
        <v>1326</v>
      </c>
      <c r="AO19" s="13">
        <v>1.7999999999999999E-2</v>
      </c>
      <c r="AP19" s="13">
        <v>0.91900000000000004</v>
      </c>
      <c r="AQ19" s="13">
        <v>6.3E-2</v>
      </c>
      <c r="AR19" s="21">
        <f>Tabela46[[#This Row],[Total of samples (N)]]*Tabela46[[#This Row],[Hispanic or Latino (%)]]</f>
        <v>23.867999999999999</v>
      </c>
      <c r="AS19" s="21">
        <f>Tabela46[[#This Row],[Total of samples (N)]]*Tabela46[[#This Row],[Not Hispanic or Latino (%)]]</f>
        <v>1218.5940000000001</v>
      </c>
      <c r="AT19" s="21">
        <f>Tabela46[[#This Row],[Total of samples (N)]]*Tabela46[[#This Row],[NA (%) ]]</f>
        <v>83.537999999999997</v>
      </c>
      <c r="AU19" s="55">
        <v>1326</v>
      </c>
      <c r="AV19" s="74" t="s">
        <v>50</v>
      </c>
      <c r="AW19" s="9" t="s">
        <v>392</v>
      </c>
      <c r="AX19" s="9" t="s">
        <v>502</v>
      </c>
      <c r="AY19" s="9" t="s">
        <v>20</v>
      </c>
      <c r="AZ19" s="60">
        <v>4.0000000000000001E-3</v>
      </c>
      <c r="BA19" s="10">
        <v>7.0000000000000007E-2</v>
      </c>
      <c r="BB19" s="10">
        <v>1.0999999999999999E-2</v>
      </c>
      <c r="BC19" s="10">
        <v>0.38400000000000001</v>
      </c>
      <c r="BD19" s="10">
        <v>0.16400000000000001</v>
      </c>
      <c r="BE19" s="10">
        <v>1.7999999999999999E-2</v>
      </c>
      <c r="BF19" s="10">
        <v>0.34899999999999998</v>
      </c>
      <c r="BG19" s="21">
        <f>Tabela46[[#This Row],[Total of samples (N)  2]]*Tabela46[[#This Row],[22 (%)]]</f>
        <v>5.3040000000000003</v>
      </c>
      <c r="BH19" s="21">
        <f>Tabela46[[#This Row],[Total of samples (N)  2]]*Tabela46[[#This Row],[23 (%)]]</f>
        <v>92.820000000000007</v>
      </c>
      <c r="BI19" s="21">
        <f>Tabela46[[#This Row],[Total of samples (N)  2]]*Tabela46[[#This Row],[24 (%)]]</f>
        <v>14.585999999999999</v>
      </c>
      <c r="BJ19" s="21">
        <f>Tabela46[[#This Row],[Total of samples (N)  2]]*Tabela46[[#This Row],[33 (%)]]</f>
        <v>509.18400000000003</v>
      </c>
      <c r="BK19" s="21">
        <f>Tabela46[[#This Row],[Total of samples (N)  2]]*Tabela46[[#This Row],[34 (%)]]</f>
        <v>217.464</v>
      </c>
      <c r="BL19" s="21">
        <f>Tabela46[[#This Row],[Total of samples (N)  2]]*Tabela46[[#This Row],[44 (%)]]</f>
        <v>23.867999999999999</v>
      </c>
      <c r="BM19" s="21">
        <f>Tabela46[[#This Row],[Total of samples (N)  2]]*Tabela46[[#This Row],[NA (%)]]</f>
        <v>462.77399999999994</v>
      </c>
      <c r="BN19" s="55">
        <v>1326</v>
      </c>
      <c r="BO19" s="68" t="s">
        <v>243</v>
      </c>
    </row>
    <row r="20" spans="1:67" x14ac:dyDescent="0.25">
      <c r="A20" s="5" t="s">
        <v>275</v>
      </c>
      <c r="B20" s="1" t="s">
        <v>347</v>
      </c>
      <c r="C20" s="73" t="s">
        <v>20</v>
      </c>
      <c r="D20" s="5">
        <v>137</v>
      </c>
      <c r="E20" s="58">
        <v>3.5999999999999997E-2</v>
      </c>
      <c r="F20" s="13">
        <v>4.3999999999999997E-2</v>
      </c>
      <c r="G20" s="13" t="s">
        <v>16</v>
      </c>
      <c r="H20" s="13">
        <v>0.92</v>
      </c>
      <c r="I20" s="13" t="s">
        <v>16</v>
      </c>
      <c r="J20" s="13" t="s">
        <v>16</v>
      </c>
      <c r="K20" s="13" t="s">
        <v>16</v>
      </c>
      <c r="L20" s="13" t="s">
        <v>16</v>
      </c>
      <c r="M20" s="13" t="s">
        <v>16</v>
      </c>
      <c r="N20" s="13" t="s">
        <v>16</v>
      </c>
      <c r="O20" s="13" t="s">
        <v>16</v>
      </c>
      <c r="P20" s="13" t="s">
        <v>16</v>
      </c>
      <c r="Q20" s="13" t="s">
        <v>16</v>
      </c>
      <c r="R20" s="13" t="s">
        <v>16</v>
      </c>
      <c r="S20" s="13" t="s">
        <v>16</v>
      </c>
      <c r="T20" s="13" t="s">
        <v>16</v>
      </c>
      <c r="U20" s="13" t="s">
        <v>16</v>
      </c>
      <c r="V20" s="13" t="s">
        <v>16</v>
      </c>
      <c r="W20" s="13" t="s">
        <v>16</v>
      </c>
      <c r="X20" s="13" t="s">
        <v>16</v>
      </c>
      <c r="Y20" s="13" t="s">
        <v>16</v>
      </c>
      <c r="Z20" s="13" t="s">
        <v>16</v>
      </c>
      <c r="AA20" s="5">
        <v>137</v>
      </c>
      <c r="AB20" s="58">
        <v>0.40899999999999997</v>
      </c>
      <c r="AC20" s="13">
        <v>0.59099999999999997</v>
      </c>
      <c r="AD20" s="21">
        <f>Tabela46[[#This Row],[Total of samples (N)  ]]*Tabela46[[#This Row],[Females (%)]]</f>
        <v>56.032999999999994</v>
      </c>
      <c r="AE20" s="21">
        <f>Tabela46[[#This Row],[Total of samples (N)  ]]*AC20</f>
        <v>80.966999999999999</v>
      </c>
      <c r="AF20" s="56">
        <v>137</v>
      </c>
      <c r="AG20" s="5" t="s">
        <v>16</v>
      </c>
      <c r="AH20" s="5" t="s">
        <v>16</v>
      </c>
      <c r="AI20" s="5" t="s">
        <v>16</v>
      </c>
      <c r="AJ20" s="5">
        <v>137</v>
      </c>
      <c r="AK20" s="5" t="s">
        <v>16</v>
      </c>
      <c r="AL20" s="5" t="s">
        <v>16</v>
      </c>
      <c r="AM20" s="5" t="s">
        <v>16</v>
      </c>
      <c r="AN20" s="56">
        <v>137</v>
      </c>
      <c r="AO20" s="13" t="s">
        <v>16</v>
      </c>
      <c r="AP20" s="13">
        <v>1</v>
      </c>
      <c r="AQ20" s="13" t="s">
        <v>16</v>
      </c>
      <c r="AR20" s="21" t="s">
        <v>16</v>
      </c>
      <c r="AS20" s="21">
        <f>Tabela46[[#This Row],[Total of samples (N)]]*Tabela46[[#This Row],[Not Hispanic or Latino (%)]]</f>
        <v>137</v>
      </c>
      <c r="AT20" s="21" t="s">
        <v>16</v>
      </c>
      <c r="AU20" s="56">
        <v>137</v>
      </c>
      <c r="AV20" s="74" t="s">
        <v>50</v>
      </c>
      <c r="AW20" s="9" t="s">
        <v>409</v>
      </c>
      <c r="AX20" s="9" t="s">
        <v>480</v>
      </c>
      <c r="AY20" s="9" t="s">
        <v>20</v>
      </c>
      <c r="AZ20" s="60" t="s">
        <v>16</v>
      </c>
      <c r="BA20" s="10" t="s">
        <v>16</v>
      </c>
      <c r="BB20" s="10" t="s">
        <v>16</v>
      </c>
      <c r="BC20" s="10">
        <v>7.0000000000000001E-3</v>
      </c>
      <c r="BD20" s="10">
        <v>0.57699999999999996</v>
      </c>
      <c r="BE20" s="10">
        <v>0.41599999999999998</v>
      </c>
      <c r="BF20" s="10" t="s">
        <v>16</v>
      </c>
      <c r="BG20" s="21" t="s">
        <v>16</v>
      </c>
      <c r="BH20" s="21" t="s">
        <v>16</v>
      </c>
      <c r="BI20" s="21" t="s">
        <v>16</v>
      </c>
      <c r="BJ20" s="21">
        <f>Tabela46[[#This Row],[Total of samples (N)  2]]*Tabela46[[#This Row],[33 (%)]]</f>
        <v>0.95900000000000007</v>
      </c>
      <c r="BK20" s="21">
        <f>Tabela46[[#This Row],[Total of samples (N)  2]]*Tabela46[[#This Row],[34 (%)]]</f>
        <v>79.048999999999992</v>
      </c>
      <c r="BL20" s="21">
        <f>Tabela46[[#This Row],[Total of samples (N)  2]]*Tabela46[[#This Row],[44 (%)]]</f>
        <v>56.991999999999997</v>
      </c>
      <c r="BM20" s="21" t="s">
        <v>16</v>
      </c>
      <c r="BN20" s="56">
        <v>137</v>
      </c>
      <c r="BO20" s="68" t="s">
        <v>408</v>
      </c>
    </row>
    <row r="21" spans="1:67" x14ac:dyDescent="0.25">
      <c r="A21" s="5" t="s">
        <v>276</v>
      </c>
      <c r="B21" s="1" t="s">
        <v>348</v>
      </c>
      <c r="C21" s="73" t="s">
        <v>20</v>
      </c>
      <c r="D21" s="5">
        <v>207</v>
      </c>
      <c r="E21" s="58" t="s">
        <v>16</v>
      </c>
      <c r="F21" s="13">
        <v>1</v>
      </c>
      <c r="G21" s="13" t="s">
        <v>16</v>
      </c>
      <c r="H21" s="13" t="s">
        <v>16</v>
      </c>
      <c r="I21" s="13" t="s">
        <v>16</v>
      </c>
      <c r="J21" s="13" t="s">
        <v>16</v>
      </c>
      <c r="K21" s="13" t="s">
        <v>16</v>
      </c>
      <c r="L21" s="13" t="s">
        <v>16</v>
      </c>
      <c r="M21" s="13" t="s">
        <v>16</v>
      </c>
      <c r="N21" s="13" t="s">
        <v>16</v>
      </c>
      <c r="O21" s="13" t="s">
        <v>16</v>
      </c>
      <c r="P21" s="13" t="s">
        <v>16</v>
      </c>
      <c r="Q21" s="13" t="s">
        <v>16</v>
      </c>
      <c r="R21" s="13" t="s">
        <v>16</v>
      </c>
      <c r="S21" s="13" t="s">
        <v>16</v>
      </c>
      <c r="T21" s="13" t="s">
        <v>16</v>
      </c>
      <c r="U21" s="13" t="s">
        <v>16</v>
      </c>
      <c r="V21" s="13" t="s">
        <v>16</v>
      </c>
      <c r="W21" s="13" t="s">
        <v>16</v>
      </c>
      <c r="X21" s="13" t="s">
        <v>16</v>
      </c>
      <c r="Y21" s="13" t="s">
        <v>16</v>
      </c>
      <c r="Z21" s="13" t="s">
        <v>16</v>
      </c>
      <c r="AA21" s="5">
        <v>207</v>
      </c>
      <c r="AB21" s="58">
        <v>0.60899999999999999</v>
      </c>
      <c r="AC21" s="13">
        <v>0.39100000000000001</v>
      </c>
      <c r="AD21" s="21">
        <f>Tabela46[[#This Row],[Total of samples (N)  ]]*Tabela46[[#This Row],[Females (%)]]</f>
        <v>126.063</v>
      </c>
      <c r="AE21" s="21">
        <f>Tabela46[[#This Row],[Total of samples (N)  ]]*AC21</f>
        <v>80.936999999999998</v>
      </c>
      <c r="AF21" s="56">
        <v>207</v>
      </c>
      <c r="AG21" s="5" t="s">
        <v>16</v>
      </c>
      <c r="AH21" s="5" t="s">
        <v>16</v>
      </c>
      <c r="AI21" s="5" t="s">
        <v>16</v>
      </c>
      <c r="AJ21" s="5">
        <v>207</v>
      </c>
      <c r="AK21" s="5" t="s">
        <v>16</v>
      </c>
      <c r="AL21" s="5" t="s">
        <v>16</v>
      </c>
      <c r="AM21" s="5" t="s">
        <v>16</v>
      </c>
      <c r="AN21" s="56">
        <v>207</v>
      </c>
      <c r="AO21" s="13" t="s">
        <v>16</v>
      </c>
      <c r="AP21" s="13">
        <v>1</v>
      </c>
      <c r="AQ21" s="13" t="s">
        <v>16</v>
      </c>
      <c r="AR21" s="21" t="s">
        <v>16</v>
      </c>
      <c r="AS21" s="21">
        <f>Tabela46[[#This Row],[Total of samples (N)]]*Tabela46[[#This Row],[Not Hispanic or Latino (%)]]</f>
        <v>207</v>
      </c>
      <c r="AT21" s="21" t="s">
        <v>16</v>
      </c>
      <c r="AU21" s="56">
        <v>207</v>
      </c>
      <c r="AV21" s="74" t="s">
        <v>50</v>
      </c>
      <c r="AW21" s="9" t="s">
        <v>393</v>
      </c>
      <c r="AX21" s="9" t="s">
        <v>480</v>
      </c>
      <c r="AY21" s="9" t="s">
        <v>20</v>
      </c>
      <c r="AZ21" s="60" t="s">
        <v>16</v>
      </c>
      <c r="BA21" s="10" t="s">
        <v>16</v>
      </c>
      <c r="BB21" s="10" t="s">
        <v>16</v>
      </c>
      <c r="BC21" s="10" t="s">
        <v>16</v>
      </c>
      <c r="BD21" s="10">
        <v>0.94199999999999995</v>
      </c>
      <c r="BE21" s="10">
        <v>5.8000000000000003E-2</v>
      </c>
      <c r="BF21" s="10" t="s">
        <v>16</v>
      </c>
      <c r="BG21" s="21" t="s">
        <v>16</v>
      </c>
      <c r="BH21" s="21" t="s">
        <v>16</v>
      </c>
      <c r="BI21" s="21" t="s">
        <v>16</v>
      </c>
      <c r="BJ21" s="21" t="s">
        <v>16</v>
      </c>
      <c r="BK21" s="21">
        <f>Tabela46[[#This Row],[Total of samples (N)  2]]*Tabela46[[#This Row],[34 (%)]]</f>
        <v>194.994</v>
      </c>
      <c r="BL21" s="21">
        <f>Tabela46[[#This Row],[Total of samples (N)  2]]*Tabela46[[#This Row],[44 (%)]]</f>
        <v>12.006</v>
      </c>
      <c r="BM21" s="21" t="s">
        <v>16</v>
      </c>
      <c r="BN21" s="56">
        <v>207</v>
      </c>
      <c r="BO21" s="68" t="s">
        <v>369</v>
      </c>
    </row>
    <row r="22" spans="1:67" x14ac:dyDescent="0.25">
      <c r="A22" s="5" t="s">
        <v>277</v>
      </c>
      <c r="B22" s="1" t="s">
        <v>349</v>
      </c>
      <c r="C22" s="73" t="s">
        <v>20</v>
      </c>
      <c r="D22" s="5">
        <v>617</v>
      </c>
      <c r="E22" s="58">
        <v>2E-3</v>
      </c>
      <c r="F22" s="13">
        <v>2E-3</v>
      </c>
      <c r="G22" s="13" t="s">
        <v>16</v>
      </c>
      <c r="H22" s="13" t="s">
        <v>16</v>
      </c>
      <c r="I22" s="13">
        <v>0.997</v>
      </c>
      <c r="J22" s="13" t="s">
        <v>16</v>
      </c>
      <c r="K22" s="13" t="s">
        <v>16</v>
      </c>
      <c r="L22" s="13" t="s">
        <v>16</v>
      </c>
      <c r="M22" s="13" t="s">
        <v>16</v>
      </c>
      <c r="N22" s="13" t="s">
        <v>16</v>
      </c>
      <c r="O22" s="13" t="s">
        <v>16</v>
      </c>
      <c r="P22" s="13" t="s">
        <v>16</v>
      </c>
      <c r="Q22" s="13" t="s">
        <v>16</v>
      </c>
      <c r="R22" s="13" t="s">
        <v>16</v>
      </c>
      <c r="S22" s="13" t="s">
        <v>16</v>
      </c>
      <c r="T22" s="13" t="s">
        <v>16</v>
      </c>
      <c r="U22" s="13" t="s">
        <v>16</v>
      </c>
      <c r="V22" s="13" t="s">
        <v>16</v>
      </c>
      <c r="W22" s="13" t="s">
        <v>16</v>
      </c>
      <c r="X22" s="13" t="s">
        <v>16</v>
      </c>
      <c r="Y22" s="13" t="s">
        <v>16</v>
      </c>
      <c r="Z22" s="13" t="s">
        <v>16</v>
      </c>
      <c r="AA22" s="5">
        <v>617</v>
      </c>
      <c r="AB22" s="58">
        <v>0.42</v>
      </c>
      <c r="AC22" s="13">
        <v>0.57999999999999996</v>
      </c>
      <c r="AD22" s="21">
        <f>Tabela46[[#This Row],[Total of samples (N)  ]]*Tabela46[[#This Row],[Females (%)]]</f>
        <v>259.14</v>
      </c>
      <c r="AE22" s="21">
        <f>Tabela46[[#This Row],[Total of samples (N)  ]]*AC22</f>
        <v>357.85999999999996</v>
      </c>
      <c r="AF22" s="56">
        <v>617</v>
      </c>
      <c r="AG22" s="5" t="s">
        <v>16</v>
      </c>
      <c r="AH22" s="5">
        <v>1</v>
      </c>
      <c r="AI22" s="5" t="s">
        <v>16</v>
      </c>
      <c r="AJ22" s="5">
        <v>611</v>
      </c>
      <c r="AK22" s="5" t="s">
        <v>16</v>
      </c>
      <c r="AL22" s="5">
        <v>5</v>
      </c>
      <c r="AM22" s="5" t="s">
        <v>16</v>
      </c>
      <c r="AN22" s="56">
        <v>617</v>
      </c>
      <c r="AO22" s="13" t="s">
        <v>16</v>
      </c>
      <c r="AP22" s="13">
        <v>3.0000000000000001E-3</v>
      </c>
      <c r="AQ22" s="13">
        <v>0.997</v>
      </c>
      <c r="AR22" s="21" t="s">
        <v>16</v>
      </c>
      <c r="AS22" s="21">
        <f>Tabela46[[#This Row],[Total of samples (N)]]*Tabela46[[#This Row],[Not Hispanic or Latino (%)]]</f>
        <v>1.851</v>
      </c>
      <c r="AT22" s="21">
        <f>Tabela46[[#This Row],[Total of samples (N)]]*Tabela46[[#This Row],[NA (%) ]]</f>
        <v>615.149</v>
      </c>
      <c r="AU22" s="56">
        <v>617</v>
      </c>
      <c r="AV22" s="74" t="s">
        <v>50</v>
      </c>
      <c r="AW22" s="9" t="s">
        <v>392</v>
      </c>
      <c r="AX22" s="9" t="s">
        <v>502</v>
      </c>
      <c r="AY22" s="9" t="s">
        <v>20</v>
      </c>
      <c r="AZ22" s="60" t="s">
        <v>16</v>
      </c>
      <c r="BA22" s="10">
        <v>2E-3</v>
      </c>
      <c r="BB22" s="10" t="s">
        <v>16</v>
      </c>
      <c r="BC22" s="10" t="s">
        <v>16</v>
      </c>
      <c r="BD22" s="10">
        <v>2E-3</v>
      </c>
      <c r="BE22" s="10" t="s">
        <v>16</v>
      </c>
      <c r="BF22" s="10">
        <v>0.997</v>
      </c>
      <c r="BG22" s="21" t="s">
        <v>16</v>
      </c>
      <c r="BH22" s="21">
        <f>Tabela46[[#This Row],[Total of samples (N)  2]]*Tabela46[[#This Row],[23 (%)]]</f>
        <v>1.234</v>
      </c>
      <c r="BI22" s="21" t="s">
        <v>16</v>
      </c>
      <c r="BJ22" s="21" t="s">
        <v>16</v>
      </c>
      <c r="BK22" s="21">
        <f>Tabela46[[#This Row],[Total of samples (N)  2]]*Tabela46[[#This Row],[34 (%)]]</f>
        <v>1.234</v>
      </c>
      <c r="BL22" s="21" t="s">
        <v>16</v>
      </c>
      <c r="BM22" s="21">
        <f>Tabela46[[#This Row],[Total of samples (N)  2]]*Tabela46[[#This Row],[NA (%)]]</f>
        <v>615.149</v>
      </c>
      <c r="BN22" s="56">
        <v>617</v>
      </c>
      <c r="BO22" s="68" t="s">
        <v>243</v>
      </c>
    </row>
    <row r="23" spans="1:67" x14ac:dyDescent="0.25">
      <c r="A23" s="5" t="s">
        <v>278</v>
      </c>
      <c r="B23" s="1" t="s">
        <v>350</v>
      </c>
      <c r="C23" s="73" t="s">
        <v>20</v>
      </c>
      <c r="D23" s="5">
        <v>886</v>
      </c>
      <c r="E23" s="58" t="s">
        <v>16</v>
      </c>
      <c r="F23" s="13" t="s">
        <v>16</v>
      </c>
      <c r="G23" s="13" t="s">
        <v>16</v>
      </c>
      <c r="H23" s="13" t="s">
        <v>16</v>
      </c>
      <c r="I23" s="13">
        <v>1</v>
      </c>
      <c r="J23" s="13" t="s">
        <v>16</v>
      </c>
      <c r="K23" s="13" t="s">
        <v>16</v>
      </c>
      <c r="L23" s="13" t="s">
        <v>16</v>
      </c>
      <c r="M23" s="13" t="s">
        <v>16</v>
      </c>
      <c r="N23" s="13" t="s">
        <v>16</v>
      </c>
      <c r="O23" s="13" t="s">
        <v>16</v>
      </c>
      <c r="P23" s="13" t="s">
        <v>16</v>
      </c>
      <c r="Q23" s="13" t="s">
        <v>16</v>
      </c>
      <c r="R23" s="13" t="s">
        <v>16</v>
      </c>
      <c r="S23" s="13" t="s">
        <v>16</v>
      </c>
      <c r="T23" s="13" t="s">
        <v>16</v>
      </c>
      <c r="U23" s="13" t="s">
        <v>16</v>
      </c>
      <c r="V23" s="13" t="s">
        <v>16</v>
      </c>
      <c r="W23" s="13" t="s">
        <v>16</v>
      </c>
      <c r="X23" s="13" t="s">
        <v>16</v>
      </c>
      <c r="Y23" s="13" t="s">
        <v>16</v>
      </c>
      <c r="Z23" s="13" t="s">
        <v>16</v>
      </c>
      <c r="AA23" s="5">
        <v>886</v>
      </c>
      <c r="AB23" s="58">
        <v>0.44800000000000001</v>
      </c>
      <c r="AC23" s="13">
        <v>0.55200000000000005</v>
      </c>
      <c r="AD23" s="21">
        <f>Tabela46[[#This Row],[Total of samples (N)  ]]*Tabela46[[#This Row],[Females (%)]]</f>
        <v>396.928</v>
      </c>
      <c r="AE23" s="21">
        <f>Tabela46[[#This Row],[Total of samples (N)  ]]*AC23</f>
        <v>489.07200000000006</v>
      </c>
      <c r="AF23" s="56">
        <v>886</v>
      </c>
      <c r="AG23" s="5" t="s">
        <v>16</v>
      </c>
      <c r="AH23" s="5" t="s">
        <v>16</v>
      </c>
      <c r="AI23" s="5" t="s">
        <v>16</v>
      </c>
      <c r="AJ23" s="5">
        <v>869</v>
      </c>
      <c r="AK23" s="5" t="s">
        <v>16</v>
      </c>
      <c r="AL23" s="5" t="s">
        <v>16</v>
      </c>
      <c r="AM23" s="5">
        <v>17</v>
      </c>
      <c r="AN23" s="56">
        <v>886</v>
      </c>
      <c r="AO23" s="13" t="s">
        <v>16</v>
      </c>
      <c r="AP23" s="13" t="s">
        <v>16</v>
      </c>
      <c r="AQ23" s="13" t="s">
        <v>16</v>
      </c>
      <c r="AR23" s="21" t="s">
        <v>16</v>
      </c>
      <c r="AS23" s="21" t="s">
        <v>16</v>
      </c>
      <c r="AT23" s="21" t="s">
        <v>16</v>
      </c>
      <c r="AU23" s="57" t="s">
        <v>16</v>
      </c>
      <c r="AV23" s="74" t="s">
        <v>50</v>
      </c>
      <c r="AW23" s="9" t="s">
        <v>392</v>
      </c>
      <c r="AX23" s="9" t="s">
        <v>502</v>
      </c>
      <c r="AY23" s="9" t="s">
        <v>20</v>
      </c>
      <c r="AZ23" s="60" t="s">
        <v>16</v>
      </c>
      <c r="BA23" s="10" t="s">
        <v>16</v>
      </c>
      <c r="BB23" s="10" t="s">
        <v>16</v>
      </c>
      <c r="BC23" s="10" t="s">
        <v>16</v>
      </c>
      <c r="BD23" s="10" t="s">
        <v>16</v>
      </c>
      <c r="BE23" s="10" t="s">
        <v>16</v>
      </c>
      <c r="BF23" s="10" t="s">
        <v>16</v>
      </c>
      <c r="BG23" s="21" t="s">
        <v>16</v>
      </c>
      <c r="BH23" s="21" t="s">
        <v>16</v>
      </c>
      <c r="BI23" s="21" t="s">
        <v>16</v>
      </c>
      <c r="BJ23" s="21" t="s">
        <v>16</v>
      </c>
      <c r="BK23" s="21" t="s">
        <v>16</v>
      </c>
      <c r="BL23" s="21" t="s">
        <v>16</v>
      </c>
      <c r="BM23" s="21" t="s">
        <v>16</v>
      </c>
      <c r="BN23" s="57" t="s">
        <v>16</v>
      </c>
      <c r="BO23" s="68" t="s">
        <v>243</v>
      </c>
    </row>
    <row r="24" spans="1:67" x14ac:dyDescent="0.25">
      <c r="A24" s="5" t="s">
        <v>279</v>
      </c>
      <c r="B24" s="1" t="s">
        <v>351</v>
      </c>
      <c r="C24" s="73" t="s">
        <v>20</v>
      </c>
      <c r="D24" s="5">
        <v>408</v>
      </c>
      <c r="E24" s="58" t="s">
        <v>16</v>
      </c>
      <c r="F24" s="13" t="s">
        <v>16</v>
      </c>
      <c r="G24" s="13" t="s">
        <v>16</v>
      </c>
      <c r="H24" s="13" t="s">
        <v>16</v>
      </c>
      <c r="I24" s="13">
        <v>0.68600000000000005</v>
      </c>
      <c r="J24" s="13">
        <v>0.314</v>
      </c>
      <c r="K24" s="13" t="s">
        <v>16</v>
      </c>
      <c r="L24" s="13" t="s">
        <v>16</v>
      </c>
      <c r="M24" s="13" t="s">
        <v>16</v>
      </c>
      <c r="N24" s="13" t="s">
        <v>16</v>
      </c>
      <c r="O24" s="13" t="s">
        <v>16</v>
      </c>
      <c r="P24" s="13" t="s">
        <v>16</v>
      </c>
      <c r="Q24" s="13" t="s">
        <v>16</v>
      </c>
      <c r="R24" s="13" t="s">
        <v>16</v>
      </c>
      <c r="S24" s="13" t="s">
        <v>16</v>
      </c>
      <c r="T24" s="13" t="s">
        <v>16</v>
      </c>
      <c r="U24" s="13" t="s">
        <v>16</v>
      </c>
      <c r="V24" s="13" t="s">
        <v>16</v>
      </c>
      <c r="W24" s="13" t="s">
        <v>16</v>
      </c>
      <c r="X24" s="13" t="s">
        <v>16</v>
      </c>
      <c r="Y24" s="13" t="s">
        <v>16</v>
      </c>
      <c r="Z24" s="13" t="s">
        <v>16</v>
      </c>
      <c r="AA24" s="5">
        <v>408</v>
      </c>
      <c r="AB24" s="58">
        <v>0.49299999999999999</v>
      </c>
      <c r="AC24" s="13">
        <v>0.50700000000000001</v>
      </c>
      <c r="AD24" s="21">
        <f>Tabela46[[#This Row],[Total of samples (N)  ]]*Tabela46[[#This Row],[Females (%)]]</f>
        <v>201.14400000000001</v>
      </c>
      <c r="AE24" s="21">
        <f>Tabela46[[#This Row],[Total of samples (N)  ]]*AC24</f>
        <v>206.85599999999999</v>
      </c>
      <c r="AF24" s="56">
        <v>408</v>
      </c>
      <c r="AG24" s="5" t="s">
        <v>16</v>
      </c>
      <c r="AH24" s="5" t="s">
        <v>16</v>
      </c>
      <c r="AI24" s="5" t="s">
        <v>16</v>
      </c>
      <c r="AJ24" s="5">
        <v>408</v>
      </c>
      <c r="AK24" s="5" t="s">
        <v>16</v>
      </c>
      <c r="AL24" s="5" t="s">
        <v>16</v>
      </c>
      <c r="AM24" s="5" t="s">
        <v>16</v>
      </c>
      <c r="AN24" s="56">
        <v>408</v>
      </c>
      <c r="AO24" s="13" t="s">
        <v>16</v>
      </c>
      <c r="AP24" s="13" t="s">
        <v>16</v>
      </c>
      <c r="AQ24" s="13" t="s">
        <v>16</v>
      </c>
      <c r="AR24" s="21" t="s">
        <v>16</v>
      </c>
      <c r="AS24" s="21" t="s">
        <v>16</v>
      </c>
      <c r="AT24" s="21" t="s">
        <v>16</v>
      </c>
      <c r="AU24" s="57" t="s">
        <v>16</v>
      </c>
      <c r="AV24" s="74" t="s">
        <v>50</v>
      </c>
      <c r="AW24" s="9" t="s">
        <v>393</v>
      </c>
      <c r="AX24" s="9" t="s">
        <v>498</v>
      </c>
      <c r="AY24" s="9" t="s">
        <v>20</v>
      </c>
      <c r="AZ24" s="60" t="s">
        <v>16</v>
      </c>
      <c r="BA24" s="10" t="s">
        <v>16</v>
      </c>
      <c r="BB24" s="10" t="s">
        <v>16</v>
      </c>
      <c r="BC24" s="10" t="s">
        <v>16</v>
      </c>
      <c r="BD24" s="10" t="s">
        <v>16</v>
      </c>
      <c r="BE24" s="10" t="s">
        <v>16</v>
      </c>
      <c r="BF24" s="10" t="s">
        <v>16</v>
      </c>
      <c r="BG24" s="21" t="s">
        <v>16</v>
      </c>
      <c r="BH24" s="21" t="s">
        <v>16</v>
      </c>
      <c r="BI24" s="21" t="s">
        <v>16</v>
      </c>
      <c r="BJ24" s="21" t="s">
        <v>16</v>
      </c>
      <c r="BK24" s="21" t="s">
        <v>16</v>
      </c>
      <c r="BL24" s="21" t="s">
        <v>16</v>
      </c>
      <c r="BM24" s="21" t="s">
        <v>16</v>
      </c>
      <c r="BN24" s="57" t="s">
        <v>16</v>
      </c>
      <c r="BO24" s="68" t="s">
        <v>369</v>
      </c>
    </row>
    <row r="25" spans="1:67" x14ac:dyDescent="0.25">
      <c r="A25" s="5" t="s">
        <v>280</v>
      </c>
      <c r="B25" s="1" t="s">
        <v>352</v>
      </c>
      <c r="C25" s="73" t="s">
        <v>20</v>
      </c>
      <c r="D25" s="5">
        <v>91</v>
      </c>
      <c r="E25" s="58">
        <v>0.81299999999999994</v>
      </c>
      <c r="F25" s="13">
        <v>0.14299999999999999</v>
      </c>
      <c r="G25" s="13">
        <v>1.0999999999999999E-2</v>
      </c>
      <c r="H25" s="13">
        <v>3.3000000000000002E-2</v>
      </c>
      <c r="I25" s="13" t="s">
        <v>16</v>
      </c>
      <c r="J25" s="13" t="s">
        <v>16</v>
      </c>
      <c r="K25" s="13" t="s">
        <v>16</v>
      </c>
      <c r="L25" s="13" t="s">
        <v>16</v>
      </c>
      <c r="M25" s="13" t="s">
        <v>16</v>
      </c>
      <c r="N25" s="13" t="s">
        <v>16</v>
      </c>
      <c r="O25" s="13" t="s">
        <v>16</v>
      </c>
      <c r="P25" s="13" t="s">
        <v>16</v>
      </c>
      <c r="Q25" s="13" t="s">
        <v>16</v>
      </c>
      <c r="R25" s="13" t="s">
        <v>16</v>
      </c>
      <c r="S25" s="13" t="s">
        <v>16</v>
      </c>
      <c r="T25" s="13" t="s">
        <v>16</v>
      </c>
      <c r="U25" s="13" t="s">
        <v>16</v>
      </c>
      <c r="V25" s="13" t="s">
        <v>16</v>
      </c>
      <c r="W25" s="13" t="s">
        <v>16</v>
      </c>
      <c r="X25" s="13" t="s">
        <v>16</v>
      </c>
      <c r="Y25" s="13" t="s">
        <v>16</v>
      </c>
      <c r="Z25" s="13" t="s">
        <v>16</v>
      </c>
      <c r="AA25" s="5">
        <v>91</v>
      </c>
      <c r="AB25" s="58">
        <v>0.61499999999999999</v>
      </c>
      <c r="AC25" s="13">
        <v>0.38500000000000001</v>
      </c>
      <c r="AD25" s="21">
        <f>Tabela46[[#This Row],[Total of samples (N)  ]]*Tabela46[[#This Row],[Females (%)]]</f>
        <v>55.964999999999996</v>
      </c>
      <c r="AE25" s="21">
        <f>Tabela46[[#This Row],[Total of samples (N)  ]]*AC25</f>
        <v>35.035000000000004</v>
      </c>
      <c r="AF25" s="56">
        <v>91</v>
      </c>
      <c r="AG25" s="5">
        <v>3</v>
      </c>
      <c r="AH25" s="5" t="s">
        <v>16</v>
      </c>
      <c r="AI25" s="5" t="s">
        <v>16</v>
      </c>
      <c r="AJ25" s="5">
        <v>88</v>
      </c>
      <c r="AK25" s="5" t="s">
        <v>16</v>
      </c>
      <c r="AL25" s="5" t="s">
        <v>16</v>
      </c>
      <c r="AM25" s="5" t="s">
        <v>16</v>
      </c>
      <c r="AN25" s="56">
        <v>91</v>
      </c>
      <c r="AO25" s="13">
        <v>1.0999999999999999E-2</v>
      </c>
      <c r="AP25" s="13">
        <v>0.98899999999999999</v>
      </c>
      <c r="AQ25" s="13" t="s">
        <v>16</v>
      </c>
      <c r="AR25" s="21">
        <f>Tabela46[[#This Row],[Total of samples (N)]]*Tabela46[[#This Row],[Hispanic or Latino (%)]]</f>
        <v>1.0009999999999999</v>
      </c>
      <c r="AS25" s="21">
        <f>Tabela46[[#This Row],[Total of samples (N)]]*Tabela46[[#This Row],[Not Hispanic or Latino (%)]]</f>
        <v>89.998999999999995</v>
      </c>
      <c r="AT25" s="21" t="s">
        <v>16</v>
      </c>
      <c r="AU25" s="56">
        <v>91</v>
      </c>
      <c r="AV25" s="74" t="s">
        <v>50</v>
      </c>
      <c r="AW25" s="9" t="s">
        <v>409</v>
      </c>
      <c r="AX25" s="9" t="s">
        <v>503</v>
      </c>
      <c r="AY25" s="9" t="s">
        <v>20</v>
      </c>
      <c r="AZ25" s="60" t="s">
        <v>16</v>
      </c>
      <c r="BA25" s="10">
        <v>5.5E-2</v>
      </c>
      <c r="BB25" s="10" t="s">
        <v>16</v>
      </c>
      <c r="BC25" s="10">
        <v>8.7999999999999995E-2</v>
      </c>
      <c r="BD25" s="10">
        <v>0.36299999999999999</v>
      </c>
      <c r="BE25" s="10">
        <v>0.495</v>
      </c>
      <c r="BF25" s="10" t="s">
        <v>16</v>
      </c>
      <c r="BG25" s="21" t="s">
        <v>16</v>
      </c>
      <c r="BH25" s="21">
        <f>Tabela46[[#This Row],[Total of samples (N)  2]]*Tabela46[[#This Row],[23 (%)]]</f>
        <v>5.0049999999999999</v>
      </c>
      <c r="BI25" s="21" t="s">
        <v>16</v>
      </c>
      <c r="BJ25" s="21">
        <f>Tabela46[[#This Row],[Total of samples (N)  2]]*Tabela46[[#This Row],[33 (%)]]</f>
        <v>8.0079999999999991</v>
      </c>
      <c r="BK25" s="21">
        <f>Tabela46[[#This Row],[Total of samples (N)  2]]*Tabela46[[#This Row],[34 (%)]]</f>
        <v>33.033000000000001</v>
      </c>
      <c r="BL25" s="21">
        <f>Tabela46[[#This Row],[Total of samples (N)  2]]*Tabela46[[#This Row],[44 (%)]]</f>
        <v>45.045000000000002</v>
      </c>
      <c r="BM25" s="21" t="s">
        <v>16</v>
      </c>
      <c r="BN25" s="56">
        <v>91</v>
      </c>
      <c r="BO25" s="68" t="s">
        <v>408</v>
      </c>
    </row>
    <row r="26" spans="1:67" x14ac:dyDescent="0.25">
      <c r="A26" s="5" t="s">
        <v>281</v>
      </c>
      <c r="B26" s="1" t="s">
        <v>353</v>
      </c>
      <c r="C26" s="73" t="s">
        <v>20</v>
      </c>
      <c r="D26" s="5">
        <v>77</v>
      </c>
      <c r="E26" s="58">
        <v>0.70099999999999996</v>
      </c>
      <c r="F26" s="13">
        <v>0.182</v>
      </c>
      <c r="G26" s="13" t="s">
        <v>16</v>
      </c>
      <c r="H26" s="13">
        <v>0.11700000000000001</v>
      </c>
      <c r="I26" s="13" t="s">
        <v>16</v>
      </c>
      <c r="J26" s="13" t="s">
        <v>16</v>
      </c>
      <c r="K26" s="13" t="s">
        <v>16</v>
      </c>
      <c r="L26" s="13" t="s">
        <v>16</v>
      </c>
      <c r="M26" s="13" t="s">
        <v>16</v>
      </c>
      <c r="N26" s="13" t="s">
        <v>16</v>
      </c>
      <c r="O26" s="13" t="s">
        <v>16</v>
      </c>
      <c r="P26" s="13" t="s">
        <v>16</v>
      </c>
      <c r="Q26" s="13" t="s">
        <v>16</v>
      </c>
      <c r="R26" s="13" t="s">
        <v>16</v>
      </c>
      <c r="S26" s="13" t="s">
        <v>16</v>
      </c>
      <c r="T26" s="13" t="s">
        <v>16</v>
      </c>
      <c r="U26" s="13" t="s">
        <v>16</v>
      </c>
      <c r="V26" s="13" t="s">
        <v>16</v>
      </c>
      <c r="W26" s="13" t="s">
        <v>16</v>
      </c>
      <c r="X26" s="13" t="s">
        <v>16</v>
      </c>
      <c r="Y26" s="13" t="s">
        <v>16</v>
      </c>
      <c r="Z26" s="13" t="s">
        <v>16</v>
      </c>
      <c r="AA26" s="5">
        <v>77</v>
      </c>
      <c r="AB26" s="58">
        <v>0.58399999999999996</v>
      </c>
      <c r="AC26" s="13">
        <v>0.41599999999999998</v>
      </c>
      <c r="AD26" s="21">
        <f>Tabela46[[#This Row],[Total of samples (N)  ]]*Tabela46[[#This Row],[Females (%)]]</f>
        <v>44.967999999999996</v>
      </c>
      <c r="AE26" s="21">
        <f>Tabela46[[#This Row],[Total of samples (N)  ]]*AC26</f>
        <v>32.031999999999996</v>
      </c>
      <c r="AF26" s="56">
        <v>77</v>
      </c>
      <c r="AG26" s="5" t="s">
        <v>16</v>
      </c>
      <c r="AH26" s="5" t="s">
        <v>16</v>
      </c>
      <c r="AI26" s="5">
        <v>5</v>
      </c>
      <c r="AJ26" s="5">
        <v>71</v>
      </c>
      <c r="AK26" s="5">
        <v>1</v>
      </c>
      <c r="AL26" s="5" t="s">
        <v>16</v>
      </c>
      <c r="AM26" s="5" t="s">
        <v>16</v>
      </c>
      <c r="AN26" s="56">
        <v>77</v>
      </c>
      <c r="AO26" s="13">
        <v>1.2999999999999999E-2</v>
      </c>
      <c r="AP26" s="13">
        <v>0.97399999999999998</v>
      </c>
      <c r="AQ26" s="13">
        <v>1.2999999999999999E-2</v>
      </c>
      <c r="AR26" s="21">
        <f>Tabela46[[#This Row],[Total of samples (N)]]*Tabela46[[#This Row],[Hispanic or Latino (%)]]</f>
        <v>1.0009999999999999</v>
      </c>
      <c r="AS26" s="21">
        <f>Tabela46[[#This Row],[Total of samples (N)]]*Tabela46[[#This Row],[Not Hispanic or Latino (%)]]</f>
        <v>74.998000000000005</v>
      </c>
      <c r="AT26" s="21">
        <f>Tabela46[[#This Row],[Total of samples (N)]]*Tabela46[[#This Row],[NA (%) ]]</f>
        <v>1.0009999999999999</v>
      </c>
      <c r="AU26" s="56">
        <v>77</v>
      </c>
      <c r="AV26" s="74" t="s">
        <v>50</v>
      </c>
      <c r="AW26" s="9" t="s">
        <v>409</v>
      </c>
      <c r="AX26" s="9" t="s">
        <v>503</v>
      </c>
      <c r="AY26" s="9" t="s">
        <v>20</v>
      </c>
      <c r="AZ26" s="60" t="s">
        <v>16</v>
      </c>
      <c r="BA26" s="10">
        <v>1.2999999999999999E-2</v>
      </c>
      <c r="BB26" s="10" t="s">
        <v>16</v>
      </c>
      <c r="BC26" s="10" t="s">
        <v>16</v>
      </c>
      <c r="BD26" s="10">
        <v>0.68799999999999994</v>
      </c>
      <c r="BE26" s="10">
        <v>0.29899999999999999</v>
      </c>
      <c r="BF26" s="10" t="s">
        <v>16</v>
      </c>
      <c r="BG26" s="21" t="s">
        <v>16</v>
      </c>
      <c r="BH26" s="21">
        <f>Tabela46[[#This Row],[Total of samples (N)  2]]*Tabela46[[#This Row],[23 (%)]]</f>
        <v>1.0009999999999999</v>
      </c>
      <c r="BI26" s="21" t="s">
        <v>16</v>
      </c>
      <c r="BJ26" s="21" t="s">
        <v>16</v>
      </c>
      <c r="BK26" s="21">
        <f>Tabela46[[#This Row],[Total of samples (N)  2]]*Tabela46[[#This Row],[34 (%)]]</f>
        <v>52.975999999999999</v>
      </c>
      <c r="BL26" s="21">
        <f>Tabela46[[#This Row],[Total of samples (N)  2]]*Tabela46[[#This Row],[44 (%)]]</f>
        <v>23.023</v>
      </c>
      <c r="BM26" s="21" t="s">
        <v>16</v>
      </c>
      <c r="BN26" s="56">
        <v>77</v>
      </c>
      <c r="BO26" s="68" t="s">
        <v>408</v>
      </c>
    </row>
    <row r="27" spans="1:67" x14ac:dyDescent="0.25">
      <c r="A27" s="5" t="s">
        <v>282</v>
      </c>
      <c r="B27" s="1" t="s">
        <v>354</v>
      </c>
      <c r="C27" s="72">
        <v>8160</v>
      </c>
      <c r="D27" s="11">
        <v>8160</v>
      </c>
      <c r="E27" s="58">
        <v>0.32500000000000001</v>
      </c>
      <c r="F27" s="13">
        <v>0.44800000000000001</v>
      </c>
      <c r="G27" s="13">
        <v>2.4E-2</v>
      </c>
      <c r="H27" s="13">
        <v>0.20300000000000001</v>
      </c>
      <c r="I27" s="13" t="s">
        <v>16</v>
      </c>
      <c r="J27" s="13" t="s">
        <v>16</v>
      </c>
      <c r="K27" s="13" t="s">
        <v>16</v>
      </c>
      <c r="L27" s="13" t="s">
        <v>16</v>
      </c>
      <c r="M27" s="13" t="s">
        <v>16</v>
      </c>
      <c r="N27" s="13" t="s">
        <v>16</v>
      </c>
      <c r="O27" s="13" t="s">
        <v>16</v>
      </c>
      <c r="P27" s="13" t="s">
        <v>16</v>
      </c>
      <c r="Q27" s="13" t="s">
        <v>16</v>
      </c>
      <c r="R27" s="13" t="s">
        <v>16</v>
      </c>
      <c r="S27" s="13" t="s">
        <v>16</v>
      </c>
      <c r="T27" s="13" t="s">
        <v>16</v>
      </c>
      <c r="U27" s="13" t="s">
        <v>16</v>
      </c>
      <c r="V27" s="13" t="s">
        <v>16</v>
      </c>
      <c r="W27" s="13" t="s">
        <v>16</v>
      </c>
      <c r="X27" s="13" t="s">
        <v>16</v>
      </c>
      <c r="Y27" s="13" t="s">
        <v>16</v>
      </c>
      <c r="Z27" s="13" t="s">
        <v>16</v>
      </c>
      <c r="AA27" s="11">
        <v>8159</v>
      </c>
      <c r="AB27" s="58">
        <v>0.629</v>
      </c>
      <c r="AC27" s="13">
        <v>0.371</v>
      </c>
      <c r="AD27" s="21">
        <f>Tabela46[[#This Row],[Total of samples (N)  ]]*Tabela46[[#This Row],[Females (%)]]</f>
        <v>3228.0279999999998</v>
      </c>
      <c r="AE27" s="21">
        <f>Tabela46[[#This Row],[Total of samples (N)  ]]*AC27</f>
        <v>1903.972</v>
      </c>
      <c r="AF27" s="55">
        <v>5132</v>
      </c>
      <c r="AG27" s="5">
        <v>11</v>
      </c>
      <c r="AH27" s="5">
        <v>38</v>
      </c>
      <c r="AI27" s="11">
        <v>1987</v>
      </c>
      <c r="AJ27" s="11">
        <v>4582</v>
      </c>
      <c r="AK27" s="5" t="s">
        <v>16</v>
      </c>
      <c r="AL27" s="11">
        <v>1539</v>
      </c>
      <c r="AM27" s="5">
        <v>2</v>
      </c>
      <c r="AN27" s="55">
        <v>8159</v>
      </c>
      <c r="AO27" s="13">
        <v>0.20200000000000001</v>
      </c>
      <c r="AP27" s="13">
        <v>0.78900000000000003</v>
      </c>
      <c r="AQ27" s="13">
        <v>8.0000000000000002E-3</v>
      </c>
      <c r="AR27" s="21">
        <f>Tabela46[[#This Row],[Total of samples (N)]]*Tabela46[[#This Row],[Hispanic or Latino (%)]]</f>
        <v>1647.7140000000002</v>
      </c>
      <c r="AS27" s="21">
        <f>Tabela46[[#This Row],[Total of samples (N)]]*Tabela46[[#This Row],[Not Hispanic or Latino (%)]]</f>
        <v>6435.8730000000005</v>
      </c>
      <c r="AT27" s="21">
        <f>Tabela46[[#This Row],[Total of samples (N)]]*Tabela46[[#This Row],[NA (%) ]]</f>
        <v>65.256</v>
      </c>
      <c r="AU27" s="55">
        <v>8157</v>
      </c>
      <c r="AV27" s="74" t="s">
        <v>50</v>
      </c>
      <c r="AW27" s="9" t="s">
        <v>392</v>
      </c>
      <c r="AX27" s="9" t="s">
        <v>504</v>
      </c>
      <c r="AY27" s="9" t="s">
        <v>20</v>
      </c>
      <c r="AZ27" s="60">
        <v>3.0000000000000001E-3</v>
      </c>
      <c r="BA27" s="10">
        <v>5.0999999999999997E-2</v>
      </c>
      <c r="BB27" s="10">
        <v>1.9E-2</v>
      </c>
      <c r="BC27" s="10">
        <v>0.51700000000000002</v>
      </c>
      <c r="BD27" s="10">
        <v>0.35199999999999998</v>
      </c>
      <c r="BE27" s="10">
        <v>4.4999999999999998E-2</v>
      </c>
      <c r="BF27" s="10">
        <v>1.2E-2</v>
      </c>
      <c r="BG27" s="21">
        <f>Tabela46[[#This Row],[Total of samples (N)  2]]*Tabela46[[#This Row],[22 (%)]]</f>
        <v>24.477</v>
      </c>
      <c r="BH27" s="21">
        <f>Tabela46[[#This Row],[Total of samples (N)  2]]*Tabela46[[#This Row],[23 (%)]]</f>
        <v>416.10899999999998</v>
      </c>
      <c r="BI27" s="21">
        <f>Tabela46[[#This Row],[Total of samples (N)  2]]*Tabela46[[#This Row],[24 (%)]]</f>
        <v>155.02099999999999</v>
      </c>
      <c r="BJ27" s="21">
        <f>Tabela46[[#This Row],[Total of samples (N)  2]]*Tabela46[[#This Row],[33 (%)]]</f>
        <v>4218.2030000000004</v>
      </c>
      <c r="BK27" s="21">
        <f>Tabela46[[#This Row],[Total of samples (N)  2]]*Tabela46[[#This Row],[34 (%)]]</f>
        <v>2871.9679999999998</v>
      </c>
      <c r="BL27" s="21">
        <f>Tabela46[[#This Row],[Total of samples (N)  2]]*Tabela46[[#This Row],[44 (%)]]</f>
        <v>367.15499999999997</v>
      </c>
      <c r="BM27" s="21">
        <f>Tabela46[[#This Row],[Total of samples (N)  2]]*Tabela46[[#This Row],[NA (%)]]</f>
        <v>97.908000000000001</v>
      </c>
      <c r="BN27" s="55">
        <v>8159</v>
      </c>
      <c r="BO27" s="68" t="s">
        <v>243</v>
      </c>
    </row>
    <row r="28" spans="1:67" x14ac:dyDescent="0.25">
      <c r="A28" s="5" t="s">
        <v>283</v>
      </c>
      <c r="B28" s="1" t="s">
        <v>222</v>
      </c>
      <c r="C28" s="73">
        <v>44</v>
      </c>
      <c r="D28" s="5" t="s">
        <v>20</v>
      </c>
      <c r="E28" s="58" t="s">
        <v>16</v>
      </c>
      <c r="F28" s="13" t="s">
        <v>16</v>
      </c>
      <c r="G28" s="13" t="s">
        <v>16</v>
      </c>
      <c r="H28" s="13" t="s">
        <v>16</v>
      </c>
      <c r="I28" s="13" t="s">
        <v>16</v>
      </c>
      <c r="J28" s="13" t="s">
        <v>16</v>
      </c>
      <c r="K28" s="13" t="s">
        <v>16</v>
      </c>
      <c r="L28" s="13" t="s">
        <v>16</v>
      </c>
      <c r="M28" s="13" t="s">
        <v>16</v>
      </c>
      <c r="N28" s="13">
        <v>0.65900000000000003</v>
      </c>
      <c r="O28" s="13">
        <v>0.114</v>
      </c>
      <c r="P28" s="13">
        <v>0.22700000000000001</v>
      </c>
      <c r="Q28" s="13" t="s">
        <v>16</v>
      </c>
      <c r="R28" s="13" t="s">
        <v>16</v>
      </c>
      <c r="S28" s="13" t="s">
        <v>16</v>
      </c>
      <c r="T28" s="13" t="s">
        <v>16</v>
      </c>
      <c r="U28" s="13" t="s">
        <v>16</v>
      </c>
      <c r="V28" s="13" t="s">
        <v>16</v>
      </c>
      <c r="W28" s="13" t="s">
        <v>16</v>
      </c>
      <c r="X28" s="13" t="s">
        <v>16</v>
      </c>
      <c r="Y28" s="13" t="s">
        <v>16</v>
      </c>
      <c r="Z28" s="13" t="s">
        <v>16</v>
      </c>
      <c r="AA28" s="5">
        <v>44</v>
      </c>
      <c r="AB28" s="58">
        <v>0.59099999999999997</v>
      </c>
      <c r="AC28" s="13">
        <v>0.40899999999999997</v>
      </c>
      <c r="AD28" s="21">
        <f>Tabela46[[#This Row],[Total of samples (N)  ]]*Tabela46[[#This Row],[Females (%)]]</f>
        <v>26.003999999999998</v>
      </c>
      <c r="AE28" s="21">
        <f>Tabela46[[#This Row],[Total of samples (N)  ]]*AC28</f>
        <v>17.995999999999999</v>
      </c>
      <c r="AF28" s="56">
        <v>44</v>
      </c>
      <c r="AG28" s="5" t="s">
        <v>16</v>
      </c>
      <c r="AH28" s="5" t="s">
        <v>16</v>
      </c>
      <c r="AI28" s="5" t="s">
        <v>16</v>
      </c>
      <c r="AJ28" s="5" t="s">
        <v>16</v>
      </c>
      <c r="AK28" s="5" t="s">
        <v>16</v>
      </c>
      <c r="AL28" s="5" t="s">
        <v>16</v>
      </c>
      <c r="AM28" s="5" t="s">
        <v>16</v>
      </c>
      <c r="AN28" s="56" t="s">
        <v>16</v>
      </c>
      <c r="AO28" s="13" t="s">
        <v>16</v>
      </c>
      <c r="AP28" s="13" t="s">
        <v>16</v>
      </c>
      <c r="AQ28" s="13" t="s">
        <v>16</v>
      </c>
      <c r="AR28" s="21" t="s">
        <v>16</v>
      </c>
      <c r="AS28" s="21" t="s">
        <v>16</v>
      </c>
      <c r="AT28" s="21" t="s">
        <v>16</v>
      </c>
      <c r="AU28" s="56" t="s">
        <v>16</v>
      </c>
      <c r="AV28" s="74" t="s">
        <v>20</v>
      </c>
      <c r="AW28" s="9" t="s">
        <v>20</v>
      </c>
      <c r="AX28" s="9" t="s">
        <v>513</v>
      </c>
      <c r="AY28" s="9" t="s">
        <v>20</v>
      </c>
      <c r="AZ28" s="60" t="s">
        <v>16</v>
      </c>
      <c r="BA28" s="10">
        <v>2.3E-2</v>
      </c>
      <c r="BB28" s="10">
        <v>4.4999999999999998E-2</v>
      </c>
      <c r="BC28" s="10">
        <v>0.54500000000000004</v>
      </c>
      <c r="BD28" s="10">
        <v>0.34100000000000003</v>
      </c>
      <c r="BE28" s="10">
        <v>4.4999999999999998E-2</v>
      </c>
      <c r="BF28" s="10" t="s">
        <v>16</v>
      </c>
      <c r="BG28" s="21" t="s">
        <v>16</v>
      </c>
      <c r="BH28" s="21">
        <f>Tabela46[[#This Row],[Total of samples (N)  2]]*Tabela46[[#This Row],[23 (%)]]</f>
        <v>1.012</v>
      </c>
      <c r="BI28" s="21">
        <f>Tabela46[[#This Row],[Total of samples (N)  2]]*Tabela46[[#This Row],[24 (%)]]</f>
        <v>1.98</v>
      </c>
      <c r="BJ28" s="21">
        <f>Tabela46[[#This Row],[Total of samples (N)  2]]*Tabela46[[#This Row],[33 (%)]]</f>
        <v>23.98</v>
      </c>
      <c r="BK28" s="21">
        <f>Tabela46[[#This Row],[Total of samples (N)  2]]*Tabela46[[#This Row],[34 (%)]]</f>
        <v>15.004000000000001</v>
      </c>
      <c r="BL28" s="21">
        <f>Tabela46[[#This Row],[Total of samples (N)  2]]*Tabela46[[#This Row],[44 (%)]]</f>
        <v>1.98</v>
      </c>
      <c r="BM28" s="21" t="s">
        <v>16</v>
      </c>
      <c r="BN28" s="56">
        <v>44</v>
      </c>
      <c r="BO28" s="68" t="s">
        <v>20</v>
      </c>
    </row>
    <row r="29" spans="1:67" x14ac:dyDescent="0.25">
      <c r="A29" s="5" t="s">
        <v>284</v>
      </c>
      <c r="B29" s="1" t="s">
        <v>355</v>
      </c>
      <c r="C29" s="73" t="s">
        <v>431</v>
      </c>
      <c r="D29" s="5" t="s">
        <v>20</v>
      </c>
      <c r="E29" s="58" t="s">
        <v>16</v>
      </c>
      <c r="F29" s="13" t="s">
        <v>16</v>
      </c>
      <c r="G29" s="13" t="s">
        <v>16</v>
      </c>
      <c r="H29" s="13" t="s">
        <v>16</v>
      </c>
      <c r="I29" s="13" t="s">
        <v>16</v>
      </c>
      <c r="J29" s="13" t="s">
        <v>16</v>
      </c>
      <c r="K29" s="13" t="s">
        <v>16</v>
      </c>
      <c r="L29" s="13">
        <v>0.61699999999999999</v>
      </c>
      <c r="M29" s="13">
        <v>0.38300000000000001</v>
      </c>
      <c r="N29" s="13" t="s">
        <v>16</v>
      </c>
      <c r="O29" s="13" t="s">
        <v>16</v>
      </c>
      <c r="P29" s="13" t="s">
        <v>16</v>
      </c>
      <c r="Q29" s="13" t="s">
        <v>16</v>
      </c>
      <c r="R29" s="13" t="s">
        <v>16</v>
      </c>
      <c r="S29" s="13" t="s">
        <v>16</v>
      </c>
      <c r="T29" s="13" t="s">
        <v>16</v>
      </c>
      <c r="U29" s="13" t="s">
        <v>16</v>
      </c>
      <c r="V29" s="13" t="s">
        <v>16</v>
      </c>
      <c r="W29" s="13" t="s">
        <v>16</v>
      </c>
      <c r="X29" s="13" t="s">
        <v>16</v>
      </c>
      <c r="Y29" s="13" t="s">
        <v>16</v>
      </c>
      <c r="Z29" s="13" t="s">
        <v>16</v>
      </c>
      <c r="AA29" s="5">
        <v>345</v>
      </c>
      <c r="AB29" s="58">
        <v>0.502</v>
      </c>
      <c r="AC29" s="13">
        <v>0.498</v>
      </c>
      <c r="AD29" s="21">
        <f>Tabela46[[#This Row],[Total of samples (N)  ]]*Tabela46[[#This Row],[Females (%)]]</f>
        <v>126.002</v>
      </c>
      <c r="AE29" s="21">
        <f>Tabela46[[#This Row],[Total of samples (N)  ]]*AC29</f>
        <v>124.998</v>
      </c>
      <c r="AF29" s="56">
        <v>251</v>
      </c>
      <c r="AG29" s="5" t="s">
        <v>16</v>
      </c>
      <c r="AH29" s="5" t="s">
        <v>16</v>
      </c>
      <c r="AI29" s="5" t="s">
        <v>16</v>
      </c>
      <c r="AJ29" s="5">
        <v>302</v>
      </c>
      <c r="AK29" s="5" t="s">
        <v>16</v>
      </c>
      <c r="AL29" s="5" t="s">
        <v>16</v>
      </c>
      <c r="AM29" s="5">
        <v>20</v>
      </c>
      <c r="AN29" s="56">
        <v>322</v>
      </c>
      <c r="AO29" s="13" t="s">
        <v>16</v>
      </c>
      <c r="AP29" s="13" t="s">
        <v>16</v>
      </c>
      <c r="AQ29" s="13" t="s">
        <v>16</v>
      </c>
      <c r="AR29" s="21" t="s">
        <v>16</v>
      </c>
      <c r="AS29" s="21" t="s">
        <v>16</v>
      </c>
      <c r="AT29" s="21" t="s">
        <v>16</v>
      </c>
      <c r="AU29" s="57" t="s">
        <v>16</v>
      </c>
      <c r="AV29" s="74" t="s">
        <v>432</v>
      </c>
      <c r="AW29" s="9" t="s">
        <v>433</v>
      </c>
      <c r="AX29" s="9" t="s">
        <v>20</v>
      </c>
      <c r="AY29" s="9" t="s">
        <v>20</v>
      </c>
      <c r="AZ29" s="60" t="s">
        <v>16</v>
      </c>
      <c r="BA29" s="10">
        <v>0.11600000000000001</v>
      </c>
      <c r="BB29" s="10">
        <v>4.1000000000000002E-2</v>
      </c>
      <c r="BC29" s="10">
        <v>0.36299999999999999</v>
      </c>
      <c r="BD29" s="10">
        <v>0.23599999999999999</v>
      </c>
      <c r="BE29" s="10">
        <v>2.4E-2</v>
      </c>
      <c r="BF29" s="10">
        <v>0.158</v>
      </c>
      <c r="BG29" s="21" t="s">
        <v>16</v>
      </c>
      <c r="BH29" s="21">
        <f>Tabela46[[#This Row],[Total of samples (N)  2]]*Tabela46[[#This Row],[23 (%)]]</f>
        <v>33.872</v>
      </c>
      <c r="BI29" s="21">
        <f>Tabela46[[#This Row],[Total of samples (N)  2]]*Tabela46[[#This Row],[24 (%)]]</f>
        <v>11.972000000000001</v>
      </c>
      <c r="BJ29" s="21">
        <f>Tabela46[[#This Row],[Total of samples (N)  2]]*Tabela46[[#This Row],[33 (%)]]</f>
        <v>105.996</v>
      </c>
      <c r="BK29" s="21">
        <f>Tabela46[[#This Row],[Total of samples (N)  2]]*Tabela46[[#This Row],[34 (%)]]</f>
        <v>68.911999999999992</v>
      </c>
      <c r="BL29" s="21">
        <f>Tabela46[[#This Row],[Total of samples (N)  2]]*Tabela46[[#This Row],[44 (%)]]</f>
        <v>7.008</v>
      </c>
      <c r="BM29" s="21">
        <f>Tabela46[[#This Row],[Total of samples (N)  2]]*Tabela46[[#This Row],[NA (%)]]</f>
        <v>46.136000000000003</v>
      </c>
      <c r="BN29" s="56">
        <v>292</v>
      </c>
      <c r="BO29" s="68" t="s">
        <v>20</v>
      </c>
    </row>
    <row r="30" spans="1:67" x14ac:dyDescent="0.25">
      <c r="A30" s="5" t="s">
        <v>285</v>
      </c>
      <c r="B30" s="1" t="s">
        <v>356</v>
      </c>
      <c r="C30" s="73">
        <v>1008</v>
      </c>
      <c r="D30" s="5" t="s">
        <v>20</v>
      </c>
      <c r="E30" s="58" t="s">
        <v>16</v>
      </c>
      <c r="F30" s="13" t="s">
        <v>16</v>
      </c>
      <c r="G30" s="13" t="s">
        <v>16</v>
      </c>
      <c r="H30" s="13" t="s">
        <v>16</v>
      </c>
      <c r="I30" s="13" t="s">
        <v>16</v>
      </c>
      <c r="J30" s="13" t="s">
        <v>16</v>
      </c>
      <c r="K30" s="13" t="s">
        <v>16</v>
      </c>
      <c r="L30" s="13" t="s">
        <v>16</v>
      </c>
      <c r="M30" s="13" t="s">
        <v>16</v>
      </c>
      <c r="N30" s="13" t="s">
        <v>16</v>
      </c>
      <c r="O30" s="13" t="s">
        <v>16</v>
      </c>
      <c r="P30" s="13" t="s">
        <v>16</v>
      </c>
      <c r="Q30" s="13" t="s">
        <v>16</v>
      </c>
      <c r="R30" s="13" t="s">
        <v>16</v>
      </c>
      <c r="S30" s="13" t="s">
        <v>16</v>
      </c>
      <c r="T30" s="13" t="s">
        <v>16</v>
      </c>
      <c r="U30" s="13" t="s">
        <v>16</v>
      </c>
      <c r="V30" s="13" t="s">
        <v>16</v>
      </c>
      <c r="W30" s="13" t="s">
        <v>16</v>
      </c>
      <c r="X30" s="13">
        <v>1</v>
      </c>
      <c r="Y30" s="13" t="s">
        <v>16</v>
      </c>
      <c r="Z30" s="13" t="s">
        <v>16</v>
      </c>
      <c r="AA30" s="11">
        <v>1008</v>
      </c>
      <c r="AB30" s="58">
        <v>0.55700000000000005</v>
      </c>
      <c r="AC30" s="13">
        <v>0.443</v>
      </c>
      <c r="AD30" s="21">
        <f>Tabela46[[#This Row],[Total of samples (N)  ]]*Tabela46[[#This Row],[Females (%)]]</f>
        <v>561.45600000000002</v>
      </c>
      <c r="AE30" s="21">
        <f>Tabela46[[#This Row],[Total of samples (N)  ]]*AC30</f>
        <v>446.54399999999998</v>
      </c>
      <c r="AF30" s="55">
        <v>1008</v>
      </c>
      <c r="AG30" s="5" t="s">
        <v>16</v>
      </c>
      <c r="AH30" s="11">
        <v>1008</v>
      </c>
      <c r="AI30" s="5" t="s">
        <v>16</v>
      </c>
      <c r="AJ30" s="5" t="s">
        <v>16</v>
      </c>
      <c r="AK30" s="5" t="s">
        <v>16</v>
      </c>
      <c r="AL30" s="5" t="s">
        <v>16</v>
      </c>
      <c r="AM30" s="5" t="s">
        <v>16</v>
      </c>
      <c r="AN30" s="55">
        <v>1008</v>
      </c>
      <c r="AO30" s="13" t="s">
        <v>16</v>
      </c>
      <c r="AP30" s="13">
        <v>1</v>
      </c>
      <c r="AQ30" s="13" t="s">
        <v>16</v>
      </c>
      <c r="AR30" s="21" t="s">
        <v>16</v>
      </c>
      <c r="AS30" s="21">
        <f>Tabela46[[#This Row],[Total of samples (N)]]*Tabela46[[#This Row],[Not Hispanic or Latino (%)]]</f>
        <v>1008</v>
      </c>
      <c r="AT30" s="21" t="s">
        <v>16</v>
      </c>
      <c r="AU30" s="55">
        <v>1008</v>
      </c>
      <c r="AV30" s="74" t="s">
        <v>257</v>
      </c>
      <c r="AW30" s="9" t="s">
        <v>425</v>
      </c>
      <c r="AX30" s="9" t="s">
        <v>505</v>
      </c>
      <c r="AY30" s="9" t="s">
        <v>20</v>
      </c>
      <c r="AZ30" s="60" t="s">
        <v>16</v>
      </c>
      <c r="BA30" s="10" t="s">
        <v>16</v>
      </c>
      <c r="BB30" s="10" t="s">
        <v>16</v>
      </c>
      <c r="BC30" s="10" t="s">
        <v>16</v>
      </c>
      <c r="BD30" s="10" t="s">
        <v>16</v>
      </c>
      <c r="BE30" s="10" t="s">
        <v>16</v>
      </c>
      <c r="BF30" s="10" t="s">
        <v>16</v>
      </c>
      <c r="BG30" s="21" t="s">
        <v>16</v>
      </c>
      <c r="BH30" s="21" t="s">
        <v>16</v>
      </c>
      <c r="BI30" s="21" t="s">
        <v>16</v>
      </c>
      <c r="BJ30" s="21" t="s">
        <v>16</v>
      </c>
      <c r="BK30" s="21" t="s">
        <v>16</v>
      </c>
      <c r="BL30" s="21" t="s">
        <v>16</v>
      </c>
      <c r="BM30" s="21" t="s">
        <v>16</v>
      </c>
      <c r="BN30" s="57" t="s">
        <v>16</v>
      </c>
      <c r="BO30" s="68" t="s">
        <v>20</v>
      </c>
    </row>
    <row r="31" spans="1:67" x14ac:dyDescent="0.25">
      <c r="A31" s="5" t="s">
        <v>286</v>
      </c>
      <c r="B31" s="1" t="s">
        <v>224</v>
      </c>
      <c r="C31" s="73" t="s">
        <v>20</v>
      </c>
      <c r="D31" s="5" t="s">
        <v>20</v>
      </c>
      <c r="E31" s="58" t="s">
        <v>16</v>
      </c>
      <c r="F31" s="13" t="s">
        <v>16</v>
      </c>
      <c r="G31" s="13" t="s">
        <v>16</v>
      </c>
      <c r="H31" s="13" t="s">
        <v>16</v>
      </c>
      <c r="I31" s="13" t="s">
        <v>16</v>
      </c>
      <c r="J31" s="13" t="s">
        <v>16</v>
      </c>
      <c r="K31" s="13" t="s">
        <v>16</v>
      </c>
      <c r="L31" s="13" t="s">
        <v>16</v>
      </c>
      <c r="M31" s="13" t="s">
        <v>16</v>
      </c>
      <c r="N31" s="13">
        <v>0.91100000000000003</v>
      </c>
      <c r="O31" s="13">
        <v>0.06</v>
      </c>
      <c r="P31" s="13">
        <v>0.03</v>
      </c>
      <c r="Q31" s="13" t="s">
        <v>16</v>
      </c>
      <c r="R31" s="13" t="s">
        <v>16</v>
      </c>
      <c r="S31" s="13" t="s">
        <v>16</v>
      </c>
      <c r="T31" s="13" t="s">
        <v>16</v>
      </c>
      <c r="U31" s="13" t="s">
        <v>16</v>
      </c>
      <c r="V31" s="13" t="s">
        <v>16</v>
      </c>
      <c r="W31" s="13" t="s">
        <v>16</v>
      </c>
      <c r="X31" s="13" t="s">
        <v>16</v>
      </c>
      <c r="Y31" s="13" t="s">
        <v>16</v>
      </c>
      <c r="Z31" s="13" t="s">
        <v>16</v>
      </c>
      <c r="AA31" s="5">
        <v>436</v>
      </c>
      <c r="AB31" s="58">
        <v>0.58899999999999997</v>
      </c>
      <c r="AC31" s="13">
        <v>0.41099999999999998</v>
      </c>
      <c r="AD31" s="21">
        <f>Tabela46[[#This Row],[Total of samples (N)  ]]*Tabela46[[#This Row],[Females (%)]]</f>
        <v>256.80399999999997</v>
      </c>
      <c r="AE31" s="21">
        <f>Tabela46[[#This Row],[Total of samples (N)  ]]*AC31</f>
        <v>179.196</v>
      </c>
      <c r="AF31" s="56">
        <v>436</v>
      </c>
      <c r="AG31" s="5">
        <v>1</v>
      </c>
      <c r="AH31" s="5" t="s">
        <v>16</v>
      </c>
      <c r="AI31" s="5">
        <v>20</v>
      </c>
      <c r="AJ31" s="5">
        <v>415</v>
      </c>
      <c r="AK31" s="5" t="s">
        <v>16</v>
      </c>
      <c r="AL31" s="5" t="s">
        <v>16</v>
      </c>
      <c r="AM31" s="5" t="s">
        <v>16</v>
      </c>
      <c r="AN31" s="56">
        <v>436</v>
      </c>
      <c r="AO31" s="13" t="s">
        <v>16</v>
      </c>
      <c r="AP31" s="13" t="s">
        <v>16</v>
      </c>
      <c r="AQ31" s="13" t="s">
        <v>16</v>
      </c>
      <c r="AR31" s="21" t="s">
        <v>16</v>
      </c>
      <c r="AS31" s="21" t="s">
        <v>16</v>
      </c>
      <c r="AT31" s="21" t="s">
        <v>16</v>
      </c>
      <c r="AU31" s="56" t="s">
        <v>16</v>
      </c>
      <c r="AV31" s="74" t="s">
        <v>20</v>
      </c>
      <c r="AW31" s="9" t="s">
        <v>450</v>
      </c>
      <c r="AX31" s="9" t="s">
        <v>449</v>
      </c>
      <c r="AY31" s="9" t="s">
        <v>20</v>
      </c>
      <c r="AZ31" s="60" t="s">
        <v>16</v>
      </c>
      <c r="BA31" s="10">
        <v>4.8000000000000001E-2</v>
      </c>
      <c r="BB31" s="10">
        <v>4.3999999999999997E-2</v>
      </c>
      <c r="BC31" s="10">
        <v>0.39200000000000002</v>
      </c>
      <c r="BD31" s="10">
        <v>0.378</v>
      </c>
      <c r="BE31" s="10">
        <v>8.5000000000000006E-2</v>
      </c>
      <c r="BF31" s="10">
        <v>5.2999999999999999E-2</v>
      </c>
      <c r="BG31" s="21" t="s">
        <v>16</v>
      </c>
      <c r="BH31" s="21">
        <f>Tabela46[[#This Row],[Total of samples (N)  2]]*Tabela46[[#This Row],[23 (%)]]</f>
        <v>20.928000000000001</v>
      </c>
      <c r="BI31" s="21">
        <f>Tabela46[[#This Row],[Total of samples (N)  2]]*Tabela46[[#This Row],[24 (%)]]</f>
        <v>19.183999999999997</v>
      </c>
      <c r="BJ31" s="21">
        <f>Tabela46[[#This Row],[Total of samples (N)  2]]*Tabela46[[#This Row],[33 (%)]]</f>
        <v>170.91200000000001</v>
      </c>
      <c r="BK31" s="21">
        <f>Tabela46[[#This Row],[Total of samples (N)  2]]*Tabela46[[#This Row],[34 (%)]]</f>
        <v>164.80799999999999</v>
      </c>
      <c r="BL31" s="21">
        <f>Tabela46[[#This Row],[Total of samples (N)  2]]*Tabela46[[#This Row],[44 (%)]]</f>
        <v>37.06</v>
      </c>
      <c r="BM31" s="21">
        <f>Tabela46[[#This Row],[Total of samples (N)  2]]*Tabela46[[#This Row],[NA (%)]]</f>
        <v>23.108000000000001</v>
      </c>
      <c r="BN31" s="56">
        <v>436</v>
      </c>
      <c r="BO31" s="68" t="s">
        <v>20</v>
      </c>
    </row>
    <row r="32" spans="1:67" x14ac:dyDescent="0.25">
      <c r="A32" s="5" t="s">
        <v>287</v>
      </c>
      <c r="B32" s="1" t="s">
        <v>227</v>
      </c>
      <c r="C32" s="73">
        <v>431</v>
      </c>
      <c r="D32" s="5" t="s">
        <v>20</v>
      </c>
      <c r="E32" s="58" t="s">
        <v>16</v>
      </c>
      <c r="F32" s="13" t="s">
        <v>16</v>
      </c>
      <c r="G32" s="13" t="s">
        <v>16</v>
      </c>
      <c r="H32" s="13" t="s">
        <v>16</v>
      </c>
      <c r="I32" s="13" t="s">
        <v>16</v>
      </c>
      <c r="J32" s="13" t="s">
        <v>16</v>
      </c>
      <c r="K32" s="13" t="s">
        <v>16</v>
      </c>
      <c r="L32" s="13" t="s">
        <v>16</v>
      </c>
      <c r="M32" s="13" t="s">
        <v>16</v>
      </c>
      <c r="N32" s="13">
        <v>0.88900000000000001</v>
      </c>
      <c r="O32" s="13">
        <v>8.1000000000000003E-2</v>
      </c>
      <c r="P32" s="13">
        <v>2.8000000000000001E-2</v>
      </c>
      <c r="Q32" s="13" t="s">
        <v>16</v>
      </c>
      <c r="R32" s="13" t="s">
        <v>16</v>
      </c>
      <c r="S32" s="13" t="s">
        <v>16</v>
      </c>
      <c r="T32" s="13" t="s">
        <v>16</v>
      </c>
      <c r="U32" s="13" t="s">
        <v>16</v>
      </c>
      <c r="V32" s="13" t="s">
        <v>16</v>
      </c>
      <c r="W32" s="13" t="s">
        <v>16</v>
      </c>
      <c r="X32" s="13">
        <v>2E-3</v>
      </c>
      <c r="Y32" s="13" t="s">
        <v>16</v>
      </c>
      <c r="Z32" s="13" t="s">
        <v>16</v>
      </c>
      <c r="AA32" s="5">
        <v>431</v>
      </c>
      <c r="AB32" s="58">
        <v>0.59399999999999997</v>
      </c>
      <c r="AC32" s="13">
        <v>0.40400000000000003</v>
      </c>
      <c r="AD32" s="21">
        <f>Tabela46[[#This Row],[Total of samples (N)  ]]*Tabela46[[#This Row],[Females (%)]]</f>
        <v>256.01400000000001</v>
      </c>
      <c r="AE32" s="21">
        <f>Tabela46[[#This Row],[Total of samples (N)  ]]*AC32</f>
        <v>174.12400000000002</v>
      </c>
      <c r="AF32" s="56">
        <v>431</v>
      </c>
      <c r="AG32" s="5">
        <v>1</v>
      </c>
      <c r="AH32" s="5" t="s">
        <v>16</v>
      </c>
      <c r="AI32" s="5">
        <v>17</v>
      </c>
      <c r="AJ32" s="5">
        <v>413</v>
      </c>
      <c r="AK32" s="5" t="s">
        <v>16</v>
      </c>
      <c r="AL32" s="5" t="s">
        <v>16</v>
      </c>
      <c r="AM32" s="5" t="s">
        <v>16</v>
      </c>
      <c r="AN32" s="56">
        <v>431</v>
      </c>
      <c r="AO32" s="13">
        <v>2E-3</v>
      </c>
      <c r="AP32" s="13">
        <v>0.20599999999999999</v>
      </c>
      <c r="AQ32" s="13">
        <v>0.79100000000000004</v>
      </c>
      <c r="AR32" s="21">
        <f>Tabela46[[#This Row],[Total of samples (N)]]*Tabela46[[#This Row],[Hispanic or Latino (%)]]</f>
        <v>0.86199999999999999</v>
      </c>
      <c r="AS32" s="21">
        <f>Tabela46[[#This Row],[Total of samples (N)]]*Tabela46[[#This Row],[Not Hispanic or Latino (%)]]</f>
        <v>88.786000000000001</v>
      </c>
      <c r="AT32" s="21">
        <f>Tabela46[[#This Row],[Total of samples (N)]]*Tabela46[[#This Row],[NA (%) ]]</f>
        <v>340.92099999999999</v>
      </c>
      <c r="AU32" s="56">
        <v>431</v>
      </c>
      <c r="AV32" s="74" t="s">
        <v>20</v>
      </c>
      <c r="AW32" s="9" t="s">
        <v>226</v>
      </c>
      <c r="AX32" s="9" t="s">
        <v>506</v>
      </c>
      <c r="AY32" s="9"/>
      <c r="AZ32" s="60" t="s">
        <v>16</v>
      </c>
      <c r="BA32" s="10">
        <v>5.0999999999999997E-2</v>
      </c>
      <c r="BB32" s="10">
        <v>4.5999999999999999E-2</v>
      </c>
      <c r="BC32" s="10">
        <v>0.42</v>
      </c>
      <c r="BD32" s="10">
        <v>0.38700000000000001</v>
      </c>
      <c r="BE32" s="10">
        <v>8.5999999999999993E-2</v>
      </c>
      <c r="BF32" s="10" t="s">
        <v>16</v>
      </c>
      <c r="BG32" s="21" t="s">
        <v>16</v>
      </c>
      <c r="BH32" s="21">
        <f>Tabela46[[#This Row],[Total of samples (N)  2]]*Tabela46[[#This Row],[23 (%)]]</f>
        <v>21.980999999999998</v>
      </c>
      <c r="BI32" s="21">
        <f>Tabela46[[#This Row],[Total of samples (N)  2]]*Tabela46[[#This Row],[24 (%)]]</f>
        <v>19.826000000000001</v>
      </c>
      <c r="BJ32" s="21">
        <f>Tabela46[[#This Row],[Total of samples (N)  2]]*Tabela46[[#This Row],[33 (%)]]</f>
        <v>181.01999999999998</v>
      </c>
      <c r="BK32" s="21">
        <f>Tabela46[[#This Row],[Total of samples (N)  2]]*Tabela46[[#This Row],[34 (%)]]</f>
        <v>166.797</v>
      </c>
      <c r="BL32" s="21">
        <f>Tabela46[[#This Row],[Total of samples (N)  2]]*Tabela46[[#This Row],[44 (%)]]</f>
        <v>37.065999999999995</v>
      </c>
      <c r="BM32" s="21" t="s">
        <v>16</v>
      </c>
      <c r="BN32" s="56">
        <v>431</v>
      </c>
      <c r="BO32" s="68" t="s">
        <v>20</v>
      </c>
    </row>
    <row r="33" spans="1:67" x14ac:dyDescent="0.25">
      <c r="A33" s="5" t="s">
        <v>288</v>
      </c>
      <c r="B33" s="1" t="s">
        <v>362</v>
      </c>
      <c r="C33" s="72">
        <v>18923</v>
      </c>
      <c r="D33" s="11">
        <v>18916</v>
      </c>
      <c r="E33" s="58" t="s">
        <v>16</v>
      </c>
      <c r="F33" s="13" t="s">
        <v>16</v>
      </c>
      <c r="G33" s="13" t="s">
        <v>16</v>
      </c>
      <c r="H33" s="13" t="s">
        <v>16</v>
      </c>
      <c r="I33" s="13" t="s">
        <v>16</v>
      </c>
      <c r="J33" s="13" t="s">
        <v>16</v>
      </c>
      <c r="K33" s="13" t="s">
        <v>16</v>
      </c>
      <c r="L33" s="13" t="s">
        <v>16</v>
      </c>
      <c r="M33" s="13" t="s">
        <v>16</v>
      </c>
      <c r="N33" s="13" t="s">
        <v>16</v>
      </c>
      <c r="O33" s="13" t="s">
        <v>16</v>
      </c>
      <c r="P33" s="13" t="s">
        <v>16</v>
      </c>
      <c r="Q33" s="13" t="s">
        <v>16</v>
      </c>
      <c r="R33" s="13" t="s">
        <v>16</v>
      </c>
      <c r="S33" s="13" t="s">
        <v>16</v>
      </c>
      <c r="T33" s="13" t="s">
        <v>16</v>
      </c>
      <c r="U33" s="13" t="s">
        <v>16</v>
      </c>
      <c r="V33" s="13" t="s">
        <v>16</v>
      </c>
      <c r="W33" s="13" t="s">
        <v>16</v>
      </c>
      <c r="X33" s="13">
        <v>1</v>
      </c>
      <c r="Y33" s="13" t="s">
        <v>16</v>
      </c>
      <c r="Z33" s="13" t="s">
        <v>16</v>
      </c>
      <c r="AA33" s="11">
        <v>15706</v>
      </c>
      <c r="AB33" s="58">
        <v>0.58499999999999996</v>
      </c>
      <c r="AC33" s="13">
        <v>0.41499999999999998</v>
      </c>
      <c r="AD33" s="21">
        <f>Tabela46[[#This Row],[Total of samples (N)  ]]*Tabela46[[#This Row],[Females (%)]]</f>
        <v>9188.01</v>
      </c>
      <c r="AE33" s="21">
        <f>Tabela46[[#This Row],[Total of samples (N)  ]]*AC33</f>
        <v>6517.99</v>
      </c>
      <c r="AF33" s="55">
        <v>15706</v>
      </c>
      <c r="AG33" s="5" t="s">
        <v>16</v>
      </c>
      <c r="AH33" s="5" t="s">
        <v>16</v>
      </c>
      <c r="AI33" s="5" t="s">
        <v>16</v>
      </c>
      <c r="AJ33" s="5" t="s">
        <v>16</v>
      </c>
      <c r="AK33" s="5" t="s">
        <v>16</v>
      </c>
      <c r="AL33" s="5" t="s">
        <v>16</v>
      </c>
      <c r="AM33" s="5" t="s">
        <v>16</v>
      </c>
      <c r="AN33" s="56" t="s">
        <v>16</v>
      </c>
      <c r="AO33" s="13" t="s">
        <v>16</v>
      </c>
      <c r="AP33" s="13" t="s">
        <v>16</v>
      </c>
      <c r="AQ33" s="13" t="s">
        <v>16</v>
      </c>
      <c r="AR33" s="21" t="s">
        <v>16</v>
      </c>
      <c r="AS33" s="21" t="s">
        <v>16</v>
      </c>
      <c r="AT33" s="21" t="s">
        <v>16</v>
      </c>
      <c r="AU33" s="56" t="s">
        <v>16</v>
      </c>
      <c r="AV33" s="74" t="s">
        <v>257</v>
      </c>
      <c r="AW33" s="9" t="s">
        <v>425</v>
      </c>
      <c r="AX33" s="9" t="s">
        <v>507</v>
      </c>
      <c r="AY33" s="9" t="s">
        <v>20</v>
      </c>
      <c r="AZ33" s="60" t="s">
        <v>16</v>
      </c>
      <c r="BA33" s="10" t="s">
        <v>16</v>
      </c>
      <c r="BB33" s="10" t="s">
        <v>16</v>
      </c>
      <c r="BC33" s="10" t="s">
        <v>16</v>
      </c>
      <c r="BD33" s="10" t="s">
        <v>16</v>
      </c>
      <c r="BE33" s="10" t="s">
        <v>16</v>
      </c>
      <c r="BF33" s="10" t="s">
        <v>16</v>
      </c>
      <c r="BG33" s="21" t="s">
        <v>16</v>
      </c>
      <c r="BH33" s="21" t="s">
        <v>16</v>
      </c>
      <c r="BI33" s="21" t="s">
        <v>16</v>
      </c>
      <c r="BJ33" s="21" t="s">
        <v>16</v>
      </c>
      <c r="BK33" s="21" t="s">
        <v>16</v>
      </c>
      <c r="BL33" s="21" t="s">
        <v>16</v>
      </c>
      <c r="BM33" s="21" t="s">
        <v>16</v>
      </c>
      <c r="BN33" s="57" t="s">
        <v>16</v>
      </c>
      <c r="BO33" s="69" t="s">
        <v>20</v>
      </c>
    </row>
    <row r="34" spans="1:67" x14ac:dyDescent="0.25">
      <c r="A34" s="5" t="s">
        <v>289</v>
      </c>
      <c r="B34" s="1" t="s">
        <v>363</v>
      </c>
      <c r="C34" s="72">
        <v>3303</v>
      </c>
      <c r="D34" s="5" t="s">
        <v>20</v>
      </c>
      <c r="E34" s="58" t="s">
        <v>16</v>
      </c>
      <c r="F34" s="13" t="s">
        <v>16</v>
      </c>
      <c r="G34" s="13" t="s">
        <v>16</v>
      </c>
      <c r="H34" s="13" t="s">
        <v>16</v>
      </c>
      <c r="I34" s="13" t="s">
        <v>16</v>
      </c>
      <c r="J34" s="13" t="s">
        <v>16</v>
      </c>
      <c r="K34" s="13" t="s">
        <v>16</v>
      </c>
      <c r="L34" s="13" t="s">
        <v>16</v>
      </c>
      <c r="M34" s="13" t="s">
        <v>16</v>
      </c>
      <c r="N34" s="13" t="s">
        <v>16</v>
      </c>
      <c r="O34" s="13" t="s">
        <v>16</v>
      </c>
      <c r="P34" s="13" t="s">
        <v>16</v>
      </c>
      <c r="Q34" s="13" t="s">
        <v>16</v>
      </c>
      <c r="R34" s="13" t="s">
        <v>16</v>
      </c>
      <c r="S34" s="13" t="s">
        <v>16</v>
      </c>
      <c r="T34" s="13" t="s">
        <v>16</v>
      </c>
      <c r="U34" s="13" t="s">
        <v>16</v>
      </c>
      <c r="V34" s="13" t="s">
        <v>16</v>
      </c>
      <c r="W34" s="13" t="s">
        <v>16</v>
      </c>
      <c r="X34" s="13">
        <v>1</v>
      </c>
      <c r="Y34" s="13" t="s">
        <v>16</v>
      </c>
      <c r="Z34" s="13"/>
      <c r="AA34" s="11">
        <v>3475</v>
      </c>
      <c r="AB34" s="58">
        <v>0.54100000000000004</v>
      </c>
      <c r="AC34" s="13">
        <v>0.45900000000000002</v>
      </c>
      <c r="AD34" s="21">
        <f>Tabela46[[#This Row],[Total of samples (N)  ]]*Tabela46[[#This Row],[Females (%)]]</f>
        <v>1879.9750000000001</v>
      </c>
      <c r="AE34" s="21">
        <f>Tabela46[[#This Row],[Total of samples (N)  ]]*AC34</f>
        <v>1595.0250000000001</v>
      </c>
      <c r="AF34" s="55">
        <v>3475</v>
      </c>
      <c r="AG34" s="5" t="s">
        <v>16</v>
      </c>
      <c r="AH34" s="5" t="s">
        <v>16</v>
      </c>
      <c r="AI34" s="5" t="s">
        <v>16</v>
      </c>
      <c r="AJ34" s="5" t="s">
        <v>16</v>
      </c>
      <c r="AK34" s="5" t="s">
        <v>16</v>
      </c>
      <c r="AL34" s="5" t="s">
        <v>16</v>
      </c>
      <c r="AM34" s="5" t="s">
        <v>16</v>
      </c>
      <c r="AN34" s="56" t="s">
        <v>16</v>
      </c>
      <c r="AO34" s="13" t="s">
        <v>16</v>
      </c>
      <c r="AP34" s="13" t="s">
        <v>16</v>
      </c>
      <c r="AQ34" s="13" t="s">
        <v>16</v>
      </c>
      <c r="AR34" s="21" t="s">
        <v>16</v>
      </c>
      <c r="AS34" s="21" t="s">
        <v>16</v>
      </c>
      <c r="AT34" s="21" t="s">
        <v>16</v>
      </c>
      <c r="AU34" s="56" t="s">
        <v>16</v>
      </c>
      <c r="AV34" s="74" t="s">
        <v>257</v>
      </c>
      <c r="AW34" s="9" t="s">
        <v>425</v>
      </c>
      <c r="AX34" s="9" t="s">
        <v>507</v>
      </c>
      <c r="AY34" s="9" t="s">
        <v>20</v>
      </c>
      <c r="AZ34" s="60" t="s">
        <v>16</v>
      </c>
      <c r="BA34" s="10" t="s">
        <v>16</v>
      </c>
      <c r="BB34" s="10" t="s">
        <v>16</v>
      </c>
      <c r="BC34" s="10" t="s">
        <v>16</v>
      </c>
      <c r="BD34" s="10" t="s">
        <v>16</v>
      </c>
      <c r="BE34" s="10" t="s">
        <v>16</v>
      </c>
      <c r="BF34" s="10" t="s">
        <v>16</v>
      </c>
      <c r="BG34" s="21" t="s">
        <v>16</v>
      </c>
      <c r="BH34" s="21" t="s">
        <v>16</v>
      </c>
      <c r="BI34" s="21" t="s">
        <v>16</v>
      </c>
      <c r="BJ34" s="21" t="s">
        <v>16</v>
      </c>
      <c r="BK34" s="21" t="s">
        <v>16</v>
      </c>
      <c r="BL34" s="21" t="s">
        <v>16</v>
      </c>
      <c r="BM34" s="21" t="s">
        <v>16</v>
      </c>
      <c r="BN34" s="57" t="s">
        <v>16</v>
      </c>
      <c r="BO34" s="68" t="s">
        <v>20</v>
      </c>
    </row>
    <row r="35" spans="1:67" x14ac:dyDescent="0.25">
      <c r="A35" s="5" t="s">
        <v>290</v>
      </c>
      <c r="B35" s="1" t="s">
        <v>364</v>
      </c>
      <c r="C35" s="72">
        <v>1018</v>
      </c>
      <c r="D35" s="11">
        <v>1017</v>
      </c>
      <c r="E35" s="58">
        <v>0.17299999999999999</v>
      </c>
      <c r="F35" s="13">
        <v>0.57099999999999995</v>
      </c>
      <c r="G35" s="13" t="s">
        <v>16</v>
      </c>
      <c r="H35" s="13">
        <v>0.25600000000000001</v>
      </c>
      <c r="I35" s="13" t="s">
        <v>16</v>
      </c>
      <c r="J35" s="13" t="s">
        <v>16</v>
      </c>
      <c r="K35" s="13" t="s">
        <v>16</v>
      </c>
      <c r="L35" s="13" t="s">
        <v>16</v>
      </c>
      <c r="M35" s="13" t="s">
        <v>16</v>
      </c>
      <c r="N35" s="13" t="s">
        <v>16</v>
      </c>
      <c r="O35" s="13" t="s">
        <v>16</v>
      </c>
      <c r="P35" s="13" t="s">
        <v>16</v>
      </c>
      <c r="Q35" s="13" t="s">
        <v>16</v>
      </c>
      <c r="R35" s="13" t="s">
        <v>16</v>
      </c>
      <c r="S35" s="13" t="s">
        <v>16</v>
      </c>
      <c r="T35" s="13" t="s">
        <v>16</v>
      </c>
      <c r="U35" s="13" t="s">
        <v>16</v>
      </c>
      <c r="V35" s="13" t="s">
        <v>16</v>
      </c>
      <c r="W35" s="13" t="s">
        <v>16</v>
      </c>
      <c r="X35" s="13" t="s">
        <v>16</v>
      </c>
      <c r="Y35" s="13" t="s">
        <v>16</v>
      </c>
      <c r="Z35" s="13" t="s">
        <v>16</v>
      </c>
      <c r="AA35" s="11">
        <v>1017</v>
      </c>
      <c r="AB35" s="58">
        <v>0.69299999999999995</v>
      </c>
      <c r="AC35" s="13">
        <v>0.307</v>
      </c>
      <c r="AD35" s="21">
        <f>Tabela46[[#This Row],[Total of samples (N)  ]]*Tabela46[[#This Row],[Females (%)]]</f>
        <v>704.78099999999995</v>
      </c>
      <c r="AE35" s="21">
        <f>Tabela46[[#This Row],[Total of samples (N)  ]]*AC35</f>
        <v>312.21899999999999</v>
      </c>
      <c r="AF35" s="55">
        <v>1017</v>
      </c>
      <c r="AG35" s="5">
        <v>5</v>
      </c>
      <c r="AH35" s="5">
        <v>44</v>
      </c>
      <c r="AI35" s="5" t="s">
        <v>16</v>
      </c>
      <c r="AJ35" s="5">
        <v>968</v>
      </c>
      <c r="AK35" s="5" t="s">
        <v>16</v>
      </c>
      <c r="AL35" s="5" t="s">
        <v>16</v>
      </c>
      <c r="AM35" s="5" t="s">
        <v>16</v>
      </c>
      <c r="AN35" s="55">
        <v>1017</v>
      </c>
      <c r="AO35" s="13">
        <v>1</v>
      </c>
      <c r="AP35" s="13" t="s">
        <v>16</v>
      </c>
      <c r="AQ35" s="13" t="s">
        <v>16</v>
      </c>
      <c r="AR35" s="21">
        <f>Tabela46[[#This Row],[Total of samples (N)]]*Tabela46[[#This Row],[Hispanic or Latino (%)]]</f>
        <v>1017</v>
      </c>
      <c r="AS35" s="21" t="s">
        <v>16</v>
      </c>
      <c r="AT35" s="21" t="s">
        <v>16</v>
      </c>
      <c r="AU35" s="55">
        <v>1017</v>
      </c>
      <c r="AV35" s="74" t="s">
        <v>50</v>
      </c>
      <c r="AW35" s="9" t="s">
        <v>392</v>
      </c>
      <c r="AX35" s="9" t="s">
        <v>508</v>
      </c>
      <c r="AY35" s="9" t="s">
        <v>20</v>
      </c>
      <c r="AZ35" s="60">
        <v>1E-3</v>
      </c>
      <c r="BA35" s="10">
        <v>5.8000000000000003E-2</v>
      </c>
      <c r="BB35" s="10">
        <v>8.9999999999999993E-3</v>
      </c>
      <c r="BC35" s="10">
        <v>0.71699999999999997</v>
      </c>
      <c r="BD35" s="10">
        <v>0.19400000000000001</v>
      </c>
      <c r="BE35" s="10">
        <v>2.1999999999999999E-2</v>
      </c>
      <c r="BF35" s="10" t="s">
        <v>16</v>
      </c>
      <c r="BG35" s="21">
        <f>Tabela46[[#This Row],[Total of samples (N)  2]]*Tabela46[[#This Row],[22 (%)]]</f>
        <v>1.0170000000000001</v>
      </c>
      <c r="BH35" s="21">
        <f>Tabela46[[#This Row],[Total of samples (N)  2]]*Tabela46[[#This Row],[23 (%)]]</f>
        <v>58.986000000000004</v>
      </c>
      <c r="BI35" s="21">
        <f>Tabela46[[#This Row],[Total of samples (N)  2]]*Tabela46[[#This Row],[24 (%)]]</f>
        <v>9.1529999999999987</v>
      </c>
      <c r="BJ35" s="21">
        <f>Tabela46[[#This Row],[Total of samples (N)  2]]*Tabela46[[#This Row],[33 (%)]]</f>
        <v>729.18899999999996</v>
      </c>
      <c r="BK35" s="21">
        <f>Tabela46[[#This Row],[Total of samples (N)  2]]*Tabela46[[#This Row],[34 (%)]]</f>
        <v>197.298</v>
      </c>
      <c r="BL35" s="21">
        <f>Tabela46[[#This Row],[Total of samples (N)  2]]*Tabela46[[#This Row],[44 (%)]]</f>
        <v>22.373999999999999</v>
      </c>
      <c r="BM35" s="21" t="s">
        <v>16</v>
      </c>
      <c r="BN35" s="55">
        <v>1017</v>
      </c>
      <c r="BO35" s="68" t="s">
        <v>243</v>
      </c>
    </row>
    <row r="36" spans="1:67" x14ac:dyDescent="0.25">
      <c r="A36" s="5" t="s">
        <v>291</v>
      </c>
      <c r="B36" s="1" t="s">
        <v>365</v>
      </c>
      <c r="C36" s="72">
        <v>13228</v>
      </c>
      <c r="D36" s="11">
        <v>12621</v>
      </c>
      <c r="E36" s="58">
        <v>0.25900000000000001</v>
      </c>
      <c r="F36" s="13">
        <v>0.55200000000000005</v>
      </c>
      <c r="G36" s="13" t="s">
        <v>417</v>
      </c>
      <c r="H36" s="13">
        <v>0.189</v>
      </c>
      <c r="I36" s="13" t="s">
        <v>16</v>
      </c>
      <c r="J36" s="13" t="s">
        <v>16</v>
      </c>
      <c r="K36" s="13" t="s">
        <v>16</v>
      </c>
      <c r="L36" s="13" t="s">
        <v>16</v>
      </c>
      <c r="M36" s="13" t="s">
        <v>16</v>
      </c>
      <c r="N36" s="13" t="s">
        <v>16</v>
      </c>
      <c r="O36" s="13" t="s">
        <v>16</v>
      </c>
      <c r="P36" s="13" t="s">
        <v>16</v>
      </c>
      <c r="Q36" s="13" t="s">
        <v>16</v>
      </c>
      <c r="R36" s="13" t="s">
        <v>16</v>
      </c>
      <c r="S36" s="13" t="s">
        <v>16</v>
      </c>
      <c r="T36" s="13" t="s">
        <v>16</v>
      </c>
      <c r="U36" s="13" t="s">
        <v>16</v>
      </c>
      <c r="V36" s="13" t="s">
        <v>16</v>
      </c>
      <c r="W36" s="13" t="s">
        <v>16</v>
      </c>
      <c r="X36" s="13" t="s">
        <v>16</v>
      </c>
      <c r="Y36" s="13" t="s">
        <v>16</v>
      </c>
      <c r="Z36" s="13" t="s">
        <v>16</v>
      </c>
      <c r="AA36" s="11">
        <v>12612</v>
      </c>
      <c r="AB36" s="58">
        <v>0.64</v>
      </c>
      <c r="AC36" s="13">
        <v>0.36</v>
      </c>
      <c r="AD36" s="21">
        <f>Tabela46[[#This Row],[Total of samples (N)  ]]*Tabela46[[#This Row],[Females (%)]]</f>
        <v>7959.04</v>
      </c>
      <c r="AE36" s="21">
        <f>Tabela46[[#This Row],[Total of samples (N)  ]]*AC36</f>
        <v>4476.96</v>
      </c>
      <c r="AF36" s="55">
        <v>12436</v>
      </c>
      <c r="AG36" s="5">
        <v>102</v>
      </c>
      <c r="AH36" s="5">
        <v>24</v>
      </c>
      <c r="AI36" s="11">
        <v>2381</v>
      </c>
      <c r="AJ36" s="11">
        <v>5358</v>
      </c>
      <c r="AK36" s="5">
        <v>2</v>
      </c>
      <c r="AL36" s="11">
        <v>1929</v>
      </c>
      <c r="AM36" s="11">
        <v>2624</v>
      </c>
      <c r="AN36" s="55">
        <v>12420</v>
      </c>
      <c r="AO36" s="13">
        <v>0.53400000000000003</v>
      </c>
      <c r="AP36" s="13">
        <v>0.44500000000000001</v>
      </c>
      <c r="AQ36" s="13">
        <v>2.1000000000000001E-2</v>
      </c>
      <c r="AR36" s="21">
        <f>Tabela46[[#This Row],[Total of samples (N)]]*Tabela46[[#This Row],[Hispanic or Latino (%)]]</f>
        <v>6703.3020000000006</v>
      </c>
      <c r="AS36" s="21">
        <f>Tabela46[[#This Row],[Total of samples (N)]]*Tabela46[[#This Row],[Not Hispanic or Latino (%)]]</f>
        <v>5586.085</v>
      </c>
      <c r="AT36" s="21">
        <f>Tabela46[[#This Row],[Total of samples (N)]]*Tabela46[[#This Row],[NA (%) ]]</f>
        <v>263.613</v>
      </c>
      <c r="AU36" s="55">
        <v>12553</v>
      </c>
      <c r="AV36" s="74" t="s">
        <v>50</v>
      </c>
      <c r="AW36" s="9" t="s">
        <v>392</v>
      </c>
      <c r="AX36" s="9" t="s">
        <v>509</v>
      </c>
      <c r="AY36" s="9" t="s">
        <v>20</v>
      </c>
      <c r="AZ36" s="60">
        <v>3.0000000000000001E-3</v>
      </c>
      <c r="BA36" s="10">
        <v>6.0999999999999999E-2</v>
      </c>
      <c r="BB36" s="10">
        <v>1.7000000000000001E-2</v>
      </c>
      <c r="BC36" s="10">
        <v>0.439</v>
      </c>
      <c r="BD36" s="10">
        <v>0.224</v>
      </c>
      <c r="BE36" s="10">
        <v>0.05</v>
      </c>
      <c r="BF36" s="10">
        <v>0.20599999999999999</v>
      </c>
      <c r="BG36" s="21">
        <f>Tabela46[[#This Row],[Total of samples (N)  2]]*Tabela46[[#This Row],[22 (%)]]</f>
        <v>37.200000000000003</v>
      </c>
      <c r="BH36" s="21">
        <f>Tabela46[[#This Row],[Total of samples (N)  2]]*Tabela46[[#This Row],[23 (%)]]</f>
        <v>756.4</v>
      </c>
      <c r="BI36" s="21">
        <f>Tabela46[[#This Row],[Total of samples (N)  2]]*Tabela46[[#This Row],[24 (%)]]</f>
        <v>210.8</v>
      </c>
      <c r="BJ36" s="21">
        <f>Tabela46[[#This Row],[Total of samples (N)  2]]*Tabela46[[#This Row],[33 (%)]]</f>
        <v>5443.6</v>
      </c>
      <c r="BK36" s="21">
        <f>Tabela46[[#This Row],[Total of samples (N)  2]]*Tabela46[[#This Row],[34 (%)]]</f>
        <v>2777.6</v>
      </c>
      <c r="BL36" s="21">
        <f>Tabela46[[#This Row],[Total of samples (N)  2]]*Tabela46[[#This Row],[44 (%)]]</f>
        <v>620</v>
      </c>
      <c r="BM36" s="21">
        <f>Tabela46[[#This Row],[Total of samples (N)  2]]*Tabela46[[#This Row],[NA (%)]]</f>
        <v>2554.3999999999996</v>
      </c>
      <c r="BN36" s="55">
        <v>12400</v>
      </c>
      <c r="BO36" s="68" t="s">
        <v>243</v>
      </c>
    </row>
    <row r="37" spans="1:67" x14ac:dyDescent="0.25">
      <c r="A37" s="5" t="s">
        <v>292</v>
      </c>
      <c r="B37" s="1" t="s">
        <v>366</v>
      </c>
      <c r="C37" s="72">
        <v>3176</v>
      </c>
      <c r="D37" s="11">
        <v>3132</v>
      </c>
      <c r="E37" s="58">
        <v>0.51500000000000001</v>
      </c>
      <c r="F37" s="13">
        <v>0.23</v>
      </c>
      <c r="G37" s="13" t="s">
        <v>16</v>
      </c>
      <c r="H37" s="13">
        <v>0.25600000000000001</v>
      </c>
      <c r="I37" s="13" t="s">
        <v>16</v>
      </c>
      <c r="J37" s="13" t="s">
        <v>16</v>
      </c>
      <c r="K37" s="13" t="s">
        <v>16</v>
      </c>
      <c r="L37" s="13" t="s">
        <v>16</v>
      </c>
      <c r="M37" s="13" t="s">
        <v>16</v>
      </c>
      <c r="N37" s="13" t="s">
        <v>16</v>
      </c>
      <c r="O37" s="13" t="s">
        <v>16</v>
      </c>
      <c r="P37" s="13" t="s">
        <v>16</v>
      </c>
      <c r="Q37" s="13" t="s">
        <v>16</v>
      </c>
      <c r="R37" s="13" t="s">
        <v>16</v>
      </c>
      <c r="S37" s="13" t="s">
        <v>16</v>
      </c>
      <c r="T37" s="13" t="s">
        <v>16</v>
      </c>
      <c r="U37" s="13" t="s">
        <v>16</v>
      </c>
      <c r="V37" s="13" t="s">
        <v>16</v>
      </c>
      <c r="W37" s="13" t="s">
        <v>16</v>
      </c>
      <c r="X37" s="13" t="s">
        <v>16</v>
      </c>
      <c r="Y37" s="13" t="s">
        <v>16</v>
      </c>
      <c r="Z37" s="13" t="s">
        <v>16</v>
      </c>
      <c r="AA37" s="11">
        <v>3131</v>
      </c>
      <c r="AB37" s="58">
        <v>0.56599999999999995</v>
      </c>
      <c r="AC37" s="13">
        <v>0.434</v>
      </c>
      <c r="AD37" s="21">
        <f>Tabela46[[#This Row],[Total of samples (N)  ]]*Tabela46[[#This Row],[Females (%)]]</f>
        <v>1772.1459999999997</v>
      </c>
      <c r="AE37" s="21">
        <f>Tabela46[[#This Row],[Total of samples (N)  ]]*AC37</f>
        <v>1358.854</v>
      </c>
      <c r="AF37" s="55">
        <v>3131</v>
      </c>
      <c r="AG37" s="5">
        <v>29</v>
      </c>
      <c r="AH37" s="5">
        <v>57</v>
      </c>
      <c r="AI37" s="5">
        <v>210</v>
      </c>
      <c r="AJ37" s="11">
        <v>2754</v>
      </c>
      <c r="AK37" s="5" t="s">
        <v>16</v>
      </c>
      <c r="AL37" s="5">
        <v>75</v>
      </c>
      <c r="AM37" s="5">
        <v>6</v>
      </c>
      <c r="AN37" s="55">
        <v>3131</v>
      </c>
      <c r="AO37" s="13">
        <v>9.5000000000000001E-2</v>
      </c>
      <c r="AP37" s="13">
        <v>0.79900000000000004</v>
      </c>
      <c r="AQ37" s="13">
        <v>0.106</v>
      </c>
      <c r="AR37" s="21">
        <f>Tabela46[[#This Row],[Total of samples (N)]]*Tabela46[[#This Row],[Hispanic or Latino (%)]]</f>
        <v>297.44499999999999</v>
      </c>
      <c r="AS37" s="21">
        <f>Tabela46[[#This Row],[Total of samples (N)]]*Tabela46[[#This Row],[Not Hispanic or Latino (%)]]</f>
        <v>2501.6690000000003</v>
      </c>
      <c r="AT37" s="21">
        <f>Tabela46[[#This Row],[Total of samples (N)]]*Tabela46[[#This Row],[NA (%) ]]</f>
        <v>331.88599999999997</v>
      </c>
      <c r="AU37" s="55">
        <v>3131</v>
      </c>
      <c r="AV37" s="74" t="s">
        <v>50</v>
      </c>
      <c r="AW37" s="9" t="s">
        <v>392</v>
      </c>
      <c r="AX37" s="9" t="s">
        <v>463</v>
      </c>
      <c r="AY37" s="9" t="s">
        <v>20</v>
      </c>
      <c r="AZ37" s="60">
        <v>4.0000000000000001E-3</v>
      </c>
      <c r="BA37" s="10">
        <v>9.5000000000000001E-2</v>
      </c>
      <c r="BB37" s="10">
        <v>2.1999999999999999E-2</v>
      </c>
      <c r="BC37" s="10">
        <v>0.38500000000000001</v>
      </c>
      <c r="BD37" s="10">
        <v>0.374</v>
      </c>
      <c r="BE37" s="10">
        <v>0.113</v>
      </c>
      <c r="BF37" s="10">
        <v>6.0000000000000001E-3</v>
      </c>
      <c r="BG37" s="21">
        <f>Tabela46[[#This Row],[Total of samples (N)  2]]*Tabela46[[#This Row],[22 (%)]]</f>
        <v>12.524000000000001</v>
      </c>
      <c r="BH37" s="21">
        <f>Tabela46[[#This Row],[Total of samples (N)  2]]*Tabela46[[#This Row],[23 (%)]]</f>
        <v>297.44499999999999</v>
      </c>
      <c r="BI37" s="21">
        <f>Tabela46[[#This Row],[Total of samples (N)  2]]*Tabela46[[#This Row],[24 (%)]]</f>
        <v>68.881999999999991</v>
      </c>
      <c r="BJ37" s="21">
        <f>Tabela46[[#This Row],[Total of samples (N)  2]]*Tabela46[[#This Row],[33 (%)]]</f>
        <v>1205.4349999999999</v>
      </c>
      <c r="BK37" s="21">
        <f>Tabela46[[#This Row],[Total of samples (N)  2]]*Tabela46[[#This Row],[34 (%)]]</f>
        <v>1170.9939999999999</v>
      </c>
      <c r="BL37" s="21">
        <f>Tabela46[[#This Row],[Total of samples (N)  2]]*Tabela46[[#This Row],[44 (%)]]</f>
        <v>353.803</v>
      </c>
      <c r="BM37" s="21">
        <f>Tabela46[[#This Row],[Total of samples (N)  2]]*Tabela46[[#This Row],[NA (%)]]</f>
        <v>18.786000000000001</v>
      </c>
      <c r="BN37" s="55">
        <v>3131</v>
      </c>
      <c r="BO37" s="68" t="s">
        <v>243</v>
      </c>
    </row>
    <row r="38" spans="1:67" x14ac:dyDescent="0.25">
      <c r="A38" s="5" t="s">
        <v>293</v>
      </c>
      <c r="B38" s="1" t="s">
        <v>389</v>
      </c>
      <c r="C38" s="72">
        <v>2768</v>
      </c>
      <c r="D38" s="11">
        <v>2686</v>
      </c>
      <c r="E38" s="58">
        <v>1E-3</v>
      </c>
      <c r="F38" s="13">
        <v>0.92900000000000005</v>
      </c>
      <c r="G38" s="13" t="s">
        <v>16</v>
      </c>
      <c r="H38" s="13">
        <v>7.0000000000000007E-2</v>
      </c>
      <c r="I38" s="13" t="s">
        <v>16</v>
      </c>
      <c r="J38" s="13" t="s">
        <v>16</v>
      </c>
      <c r="K38" s="13" t="s">
        <v>16</v>
      </c>
      <c r="L38" s="13" t="s">
        <v>16</v>
      </c>
      <c r="M38" s="13" t="s">
        <v>16</v>
      </c>
      <c r="N38" s="13" t="s">
        <v>16</v>
      </c>
      <c r="O38" s="13" t="s">
        <v>16</v>
      </c>
      <c r="P38" s="13" t="s">
        <v>16</v>
      </c>
      <c r="Q38" s="13" t="s">
        <v>16</v>
      </c>
      <c r="R38" s="13" t="s">
        <v>16</v>
      </c>
      <c r="S38" s="13" t="s">
        <v>16</v>
      </c>
      <c r="T38" s="13" t="s">
        <v>16</v>
      </c>
      <c r="U38" s="13" t="s">
        <v>16</v>
      </c>
      <c r="V38" s="13" t="s">
        <v>16</v>
      </c>
      <c r="W38" s="13" t="s">
        <v>16</v>
      </c>
      <c r="X38" s="13" t="s">
        <v>16</v>
      </c>
      <c r="Y38" s="13" t="s">
        <v>16</v>
      </c>
      <c r="Z38" s="13" t="s">
        <v>16</v>
      </c>
      <c r="AA38" s="11">
        <v>2686</v>
      </c>
      <c r="AB38" s="58">
        <v>0.52600000000000002</v>
      </c>
      <c r="AC38" s="13">
        <v>0.47399999999999998</v>
      </c>
      <c r="AD38" s="21">
        <f>Tabela46[[#This Row],[Total of samples (N)  ]]*Tabela46[[#This Row],[Females (%)]]</f>
        <v>1412.836</v>
      </c>
      <c r="AE38" s="21">
        <f>Tabela46[[#This Row],[Total of samples (N)  ]]*AC38</f>
        <v>1273.164</v>
      </c>
      <c r="AF38" s="55">
        <v>2686</v>
      </c>
      <c r="AG38" s="5" t="s">
        <v>16</v>
      </c>
      <c r="AH38" s="11">
        <v>2682</v>
      </c>
      <c r="AI38" s="5">
        <v>1</v>
      </c>
      <c r="AJ38" s="5" t="s">
        <v>16</v>
      </c>
      <c r="AK38" s="5" t="s">
        <v>16</v>
      </c>
      <c r="AL38" s="5">
        <v>3</v>
      </c>
      <c r="AM38" s="5" t="s">
        <v>16</v>
      </c>
      <c r="AN38" s="55">
        <v>2686</v>
      </c>
      <c r="AO38" s="13">
        <v>1E-3</v>
      </c>
      <c r="AP38" s="13">
        <v>0.999</v>
      </c>
      <c r="AQ38" s="13" t="s">
        <v>16</v>
      </c>
      <c r="AR38" s="21">
        <f>Tabela46[[#This Row],[Total of samples (N)]]*Tabela46[[#This Row],[Hispanic or Latino (%)]]</f>
        <v>2.6859999999999999</v>
      </c>
      <c r="AS38" s="21">
        <f>Tabela46[[#This Row],[Total of samples (N)]]*Tabela46[[#This Row],[Not Hispanic or Latino (%)]]</f>
        <v>2683.3139999999999</v>
      </c>
      <c r="AT38" s="21" t="s">
        <v>16</v>
      </c>
      <c r="AU38" s="55">
        <v>2686</v>
      </c>
      <c r="AV38" s="74" t="s">
        <v>50</v>
      </c>
      <c r="AW38" s="9" t="s">
        <v>392</v>
      </c>
      <c r="AX38" s="9" t="s">
        <v>502</v>
      </c>
      <c r="AY38" s="9" t="s">
        <v>20</v>
      </c>
      <c r="AZ38" s="60" t="s">
        <v>16</v>
      </c>
      <c r="BA38" s="10">
        <v>0</v>
      </c>
      <c r="BB38" s="10" t="s">
        <v>16</v>
      </c>
      <c r="BC38" s="10">
        <v>0</v>
      </c>
      <c r="BD38" s="10">
        <v>1E-3</v>
      </c>
      <c r="BE38" s="10" t="s">
        <v>16</v>
      </c>
      <c r="BF38" s="10">
        <v>0.999</v>
      </c>
      <c r="BG38" s="21" t="s">
        <v>16</v>
      </c>
      <c r="BH38" s="21">
        <f>Tabela46[[#This Row],[Total of samples (N)  2]]*Tabela46[[#This Row],[23 (%)]]</f>
        <v>0</v>
      </c>
      <c r="BI38" s="21" t="s">
        <v>16</v>
      </c>
      <c r="BJ38" s="21">
        <f>Tabela46[[#This Row],[Total of samples (N)  2]]*Tabela46[[#This Row],[33 (%)]]</f>
        <v>0</v>
      </c>
      <c r="BK38" s="21">
        <f>Tabela46[[#This Row],[Total of samples (N)  2]]*Tabela46[[#This Row],[34 (%)]]</f>
        <v>2.6819999999999999</v>
      </c>
      <c r="BL38" s="21" t="s">
        <v>16</v>
      </c>
      <c r="BM38" s="21">
        <f>Tabela46[[#This Row],[Total of samples (N)  2]]*Tabela46[[#This Row],[NA (%)]]</f>
        <v>2679.3180000000002</v>
      </c>
      <c r="BN38" s="55">
        <v>2682</v>
      </c>
      <c r="BO38" s="68" t="s">
        <v>243</v>
      </c>
    </row>
    <row r="39" spans="1:67" x14ac:dyDescent="0.25">
      <c r="A39" s="5" t="s">
        <v>294</v>
      </c>
      <c r="B39" s="1" t="s">
        <v>390</v>
      </c>
      <c r="C39" s="72">
        <v>4496</v>
      </c>
      <c r="D39" s="5" t="s">
        <v>20</v>
      </c>
      <c r="E39" s="58">
        <v>0.435</v>
      </c>
      <c r="F39" s="13">
        <v>0.39700000000000002</v>
      </c>
      <c r="G39" s="13" t="s">
        <v>16</v>
      </c>
      <c r="H39" s="13" t="s">
        <v>16</v>
      </c>
      <c r="I39" s="13">
        <v>4.0000000000000001E-3</v>
      </c>
      <c r="J39" s="13" t="s">
        <v>16</v>
      </c>
      <c r="K39" s="13" t="s">
        <v>16</v>
      </c>
      <c r="L39" s="13" t="s">
        <v>16</v>
      </c>
      <c r="M39" s="13" t="s">
        <v>16</v>
      </c>
      <c r="N39" s="13" t="s">
        <v>16</v>
      </c>
      <c r="O39" s="13" t="s">
        <v>16</v>
      </c>
      <c r="P39" s="13" t="s">
        <v>16</v>
      </c>
      <c r="Q39" s="13">
        <v>1.2999999999999999E-2</v>
      </c>
      <c r="R39" s="13">
        <v>2.9000000000000001E-2</v>
      </c>
      <c r="S39" s="13">
        <v>4.0000000000000001E-3</v>
      </c>
      <c r="T39" s="13" t="s">
        <v>16</v>
      </c>
      <c r="U39" s="13" t="s">
        <v>16</v>
      </c>
      <c r="V39" s="13" t="s">
        <v>16</v>
      </c>
      <c r="W39" s="13" t="s">
        <v>16</v>
      </c>
      <c r="X39" s="13" t="s">
        <v>16</v>
      </c>
      <c r="Y39" s="13" t="s">
        <v>456</v>
      </c>
      <c r="Z39" s="13">
        <v>0.11700000000000001</v>
      </c>
      <c r="AA39" s="11">
        <v>4496</v>
      </c>
      <c r="AB39" s="58">
        <v>0.57799999999999996</v>
      </c>
      <c r="AC39" s="13">
        <v>0.41899999999999998</v>
      </c>
      <c r="AD39" s="21">
        <f>Tabela46[[#This Row],[Total of samples (N)  ]]*Tabela46[[#This Row],[Females (%)]]</f>
        <v>2598.6879999999996</v>
      </c>
      <c r="AE39" s="21">
        <f>Tabela46[[#This Row],[Total of samples (N)  ]]*AC39</f>
        <v>1883.8239999999998</v>
      </c>
      <c r="AF39" s="55">
        <v>4496</v>
      </c>
      <c r="AG39" s="5">
        <v>6</v>
      </c>
      <c r="AH39" s="5">
        <v>11</v>
      </c>
      <c r="AI39" s="5">
        <v>566</v>
      </c>
      <c r="AJ39" s="11">
        <v>3861</v>
      </c>
      <c r="AK39" s="5">
        <v>1</v>
      </c>
      <c r="AL39" s="5" t="s">
        <v>16</v>
      </c>
      <c r="AM39" s="5">
        <v>51</v>
      </c>
      <c r="AN39" s="55">
        <v>4496</v>
      </c>
      <c r="AO39" s="13">
        <v>6.0000000000000001E-3</v>
      </c>
      <c r="AP39" s="13">
        <v>0.57299999999999995</v>
      </c>
      <c r="AQ39" s="13">
        <v>0.42099999999999999</v>
      </c>
      <c r="AR39" s="21">
        <f>Tabela46[[#This Row],[Total of samples (N)]]*Tabela46[[#This Row],[Hispanic or Latino (%)]]</f>
        <v>26.975999999999999</v>
      </c>
      <c r="AS39" s="21">
        <f>Tabela46[[#This Row],[Total of samples (N)]]*Tabela46[[#This Row],[Not Hispanic or Latino (%)]]</f>
        <v>2576.2079999999996</v>
      </c>
      <c r="AT39" s="21">
        <f>Tabela46[[#This Row],[Total of samples (N)]]*Tabela46[[#This Row],[NA (%) ]]</f>
        <v>1892.816</v>
      </c>
      <c r="AU39" s="55">
        <v>4496</v>
      </c>
      <c r="AV39" s="74" t="s">
        <v>257</v>
      </c>
      <c r="AW39" s="9" t="s">
        <v>20</v>
      </c>
      <c r="AX39" s="9" t="s">
        <v>457</v>
      </c>
      <c r="AY39" s="9" t="s">
        <v>20</v>
      </c>
      <c r="AZ39" s="60">
        <v>4.0000000000000001E-3</v>
      </c>
      <c r="BA39" s="10">
        <v>8.1000000000000003E-2</v>
      </c>
      <c r="BB39" s="10">
        <v>0.03</v>
      </c>
      <c r="BC39" s="10">
        <v>0.438</v>
      </c>
      <c r="BD39" s="10">
        <v>0.33600000000000002</v>
      </c>
      <c r="BE39" s="10">
        <v>6.3E-2</v>
      </c>
      <c r="BF39" s="10">
        <v>4.7E-2</v>
      </c>
      <c r="BG39" s="21">
        <f>Tabela46[[#This Row],[Total of samples (N)  2]]*Tabela46[[#This Row],[22 (%)]]</f>
        <v>17.984000000000002</v>
      </c>
      <c r="BH39" s="21">
        <f>Tabela46[[#This Row],[Total of samples (N)  2]]*Tabela46[[#This Row],[23 (%)]]</f>
        <v>364.17599999999999</v>
      </c>
      <c r="BI39" s="21">
        <f>Tabela46[[#This Row],[Total of samples (N)  2]]*Tabela46[[#This Row],[24 (%)]]</f>
        <v>134.88</v>
      </c>
      <c r="BJ39" s="21">
        <f>Tabela46[[#This Row],[Total of samples (N)  2]]*Tabela46[[#This Row],[33 (%)]]</f>
        <v>1969.248</v>
      </c>
      <c r="BK39" s="21">
        <f>Tabela46[[#This Row],[Total of samples (N)  2]]*Tabela46[[#This Row],[34 (%)]]</f>
        <v>1510.6560000000002</v>
      </c>
      <c r="BL39" s="21">
        <f>Tabela46[[#This Row],[Total of samples (N)  2]]*Tabela46[[#This Row],[44 (%)]]</f>
        <v>283.24799999999999</v>
      </c>
      <c r="BM39" s="21">
        <f>Tabela46[[#This Row],[Total of samples (N)  2]]*Tabela46[[#This Row],[NA (%)]]</f>
        <v>211.31200000000001</v>
      </c>
      <c r="BN39" s="55">
        <v>4496</v>
      </c>
      <c r="BO39" s="68" t="s">
        <v>20</v>
      </c>
    </row>
    <row r="40" spans="1:67" x14ac:dyDescent="0.25">
      <c r="A40" s="5" t="s">
        <v>295</v>
      </c>
      <c r="B40" s="1" t="s">
        <v>415</v>
      </c>
      <c r="C40" s="73">
        <v>482</v>
      </c>
      <c r="D40" s="5" t="s">
        <v>20</v>
      </c>
      <c r="E40" s="58" t="s">
        <v>16</v>
      </c>
      <c r="F40" s="13" t="s">
        <v>16</v>
      </c>
      <c r="G40" s="13" t="s">
        <v>16</v>
      </c>
      <c r="H40" s="13" t="s">
        <v>16</v>
      </c>
      <c r="I40" s="13" t="s">
        <v>16</v>
      </c>
      <c r="J40" s="13" t="s">
        <v>16</v>
      </c>
      <c r="K40" s="13" t="s">
        <v>16</v>
      </c>
      <c r="L40" s="13" t="s">
        <v>16</v>
      </c>
      <c r="M40" s="13" t="s">
        <v>16</v>
      </c>
      <c r="N40" s="13" t="s">
        <v>16</v>
      </c>
      <c r="O40" s="13" t="s">
        <v>16</v>
      </c>
      <c r="P40" s="13" t="s">
        <v>16</v>
      </c>
      <c r="Q40" s="13" t="s">
        <v>16</v>
      </c>
      <c r="R40" s="13" t="s">
        <v>16</v>
      </c>
      <c r="S40" s="13" t="s">
        <v>16</v>
      </c>
      <c r="T40" s="13">
        <v>0.68899999999999995</v>
      </c>
      <c r="U40" s="13">
        <v>0.311</v>
      </c>
      <c r="V40" s="13" t="s">
        <v>16</v>
      </c>
      <c r="W40" s="13" t="s">
        <v>16</v>
      </c>
      <c r="X40" s="13" t="s">
        <v>16</v>
      </c>
      <c r="Y40" s="13" t="s">
        <v>16</v>
      </c>
      <c r="Z40" s="13" t="s">
        <v>16</v>
      </c>
      <c r="AA40" s="5">
        <v>482</v>
      </c>
      <c r="AB40" s="58">
        <v>0.41899999999999998</v>
      </c>
      <c r="AC40" s="13">
        <v>0.58099999999999996</v>
      </c>
      <c r="AD40" s="21">
        <f>Tabela46[[#This Row],[Total of samples (N)  ]]*Tabela46[[#This Row],[Females (%)]]</f>
        <v>201.958</v>
      </c>
      <c r="AE40" s="21">
        <f>Tabela46[[#This Row],[Total of samples (N)  ]]*AC40</f>
        <v>280.04199999999997</v>
      </c>
      <c r="AF40" s="56">
        <v>482</v>
      </c>
      <c r="AG40" s="5">
        <v>2</v>
      </c>
      <c r="AH40" s="5">
        <v>2</v>
      </c>
      <c r="AI40" s="5">
        <v>327</v>
      </c>
      <c r="AJ40" s="5">
        <v>145</v>
      </c>
      <c r="AK40" s="5" t="s">
        <v>16</v>
      </c>
      <c r="AL40" s="5">
        <v>4</v>
      </c>
      <c r="AM40" s="5">
        <v>2</v>
      </c>
      <c r="AN40" s="56">
        <v>482</v>
      </c>
      <c r="AO40" s="13" t="s">
        <v>16</v>
      </c>
      <c r="AP40" s="13" t="s">
        <v>16</v>
      </c>
      <c r="AQ40" s="13" t="s">
        <v>16</v>
      </c>
      <c r="AR40" s="21" t="s">
        <v>16</v>
      </c>
      <c r="AS40" s="21" t="s">
        <v>16</v>
      </c>
      <c r="AT40" s="21" t="s">
        <v>16</v>
      </c>
      <c r="AU40" s="57" t="s">
        <v>16</v>
      </c>
      <c r="AV40" s="74" t="s">
        <v>20</v>
      </c>
      <c r="AW40" s="9" t="s">
        <v>20</v>
      </c>
      <c r="AX40" s="9" t="s">
        <v>20</v>
      </c>
      <c r="AY40" s="9" t="s">
        <v>20</v>
      </c>
      <c r="AZ40" s="60" t="s">
        <v>16</v>
      </c>
      <c r="BA40" s="10" t="s">
        <v>16</v>
      </c>
      <c r="BB40" s="10" t="s">
        <v>16</v>
      </c>
      <c r="BC40" s="10" t="s">
        <v>16</v>
      </c>
      <c r="BD40" s="10" t="s">
        <v>16</v>
      </c>
      <c r="BE40" s="10" t="s">
        <v>16</v>
      </c>
      <c r="BF40" s="10" t="s">
        <v>16</v>
      </c>
      <c r="BG40" s="21" t="s">
        <v>16</v>
      </c>
      <c r="BH40" s="21" t="s">
        <v>16</v>
      </c>
      <c r="BI40" s="21" t="s">
        <v>16</v>
      </c>
      <c r="BJ40" s="21" t="s">
        <v>16</v>
      </c>
      <c r="BK40" s="21" t="s">
        <v>16</v>
      </c>
      <c r="BL40" s="21" t="s">
        <v>16</v>
      </c>
      <c r="BM40" s="21" t="s">
        <v>16</v>
      </c>
      <c r="BN40" s="57" t="s">
        <v>16</v>
      </c>
      <c r="BO40" s="69" t="s">
        <v>20</v>
      </c>
    </row>
    <row r="41" spans="1:67" x14ac:dyDescent="0.25">
      <c r="A41" s="5" t="s">
        <v>296</v>
      </c>
      <c r="B41" s="1" t="s">
        <v>416</v>
      </c>
      <c r="C41" s="72">
        <v>19193</v>
      </c>
      <c r="D41" s="5" t="s">
        <v>20</v>
      </c>
      <c r="E41" s="58" t="s">
        <v>16</v>
      </c>
      <c r="F41" s="13" t="s">
        <v>16</v>
      </c>
      <c r="G41" s="13" t="s">
        <v>16</v>
      </c>
      <c r="H41" s="13" t="s">
        <v>16</v>
      </c>
      <c r="I41" s="13" t="s">
        <v>16</v>
      </c>
      <c r="J41" s="13" t="s">
        <v>16</v>
      </c>
      <c r="K41" s="13" t="s">
        <v>16</v>
      </c>
      <c r="L41" s="13" t="s">
        <v>16</v>
      </c>
      <c r="M41" s="13" t="s">
        <v>16</v>
      </c>
      <c r="N41" s="13" t="s">
        <v>16</v>
      </c>
      <c r="O41" s="13" t="s">
        <v>16</v>
      </c>
      <c r="P41" s="13" t="s">
        <v>16</v>
      </c>
      <c r="Q41" s="13" t="s">
        <v>16</v>
      </c>
      <c r="R41" s="13" t="s">
        <v>16</v>
      </c>
      <c r="S41" s="13" t="s">
        <v>16</v>
      </c>
      <c r="T41" s="13" t="s">
        <v>16</v>
      </c>
      <c r="U41" s="13" t="s">
        <v>16</v>
      </c>
      <c r="V41" s="13" t="s">
        <v>16</v>
      </c>
      <c r="W41" s="13" t="s">
        <v>16</v>
      </c>
      <c r="X41" s="13" t="s">
        <v>16</v>
      </c>
      <c r="Y41" s="13" t="s">
        <v>16</v>
      </c>
      <c r="Z41" s="13" t="s">
        <v>16</v>
      </c>
      <c r="AA41" s="10" t="s">
        <v>16</v>
      </c>
      <c r="AB41" s="58" t="s">
        <v>16</v>
      </c>
      <c r="AC41" s="13" t="s">
        <v>16</v>
      </c>
      <c r="AD41" s="21" t="s">
        <v>16</v>
      </c>
      <c r="AE41" s="21" t="s">
        <v>16</v>
      </c>
      <c r="AF41" s="57" t="s">
        <v>16</v>
      </c>
      <c r="AG41" s="10" t="s">
        <v>16</v>
      </c>
      <c r="AH41" s="10" t="s">
        <v>16</v>
      </c>
      <c r="AI41" s="10" t="s">
        <v>16</v>
      </c>
      <c r="AJ41" s="10" t="s">
        <v>16</v>
      </c>
      <c r="AK41" s="10" t="s">
        <v>16</v>
      </c>
      <c r="AL41" s="10" t="s">
        <v>16</v>
      </c>
      <c r="AM41" s="10" t="s">
        <v>16</v>
      </c>
      <c r="AN41" s="57" t="s">
        <v>16</v>
      </c>
      <c r="AO41" s="13" t="s">
        <v>16</v>
      </c>
      <c r="AP41" s="13" t="s">
        <v>16</v>
      </c>
      <c r="AQ41" s="13" t="s">
        <v>16</v>
      </c>
      <c r="AR41" s="21" t="s">
        <v>16</v>
      </c>
      <c r="AS41" s="21" t="s">
        <v>16</v>
      </c>
      <c r="AT41" s="21" t="s">
        <v>16</v>
      </c>
      <c r="AU41" s="57" t="s">
        <v>16</v>
      </c>
      <c r="AV41" s="74" t="s">
        <v>440</v>
      </c>
      <c r="AW41" s="9" t="s">
        <v>442</v>
      </c>
      <c r="AX41" s="9" t="s">
        <v>441</v>
      </c>
      <c r="AY41" s="9" t="s">
        <v>20</v>
      </c>
      <c r="AZ41" s="60">
        <v>7.0000000000000001E-3</v>
      </c>
      <c r="BA41" s="10">
        <v>0.123</v>
      </c>
      <c r="BB41" s="10">
        <v>2.4E-2</v>
      </c>
      <c r="BC41" s="10">
        <v>0.59699999999999998</v>
      </c>
      <c r="BD41" s="10">
        <v>0.221</v>
      </c>
      <c r="BE41" s="10">
        <v>2.3E-2</v>
      </c>
      <c r="BF41" s="10" t="s">
        <v>16</v>
      </c>
      <c r="BG41" s="21">
        <f>Tabela46[[#This Row],[Total of samples (N)  2]]*Tabela46[[#This Row],[22 (%)]]</f>
        <v>134.351</v>
      </c>
      <c r="BH41" s="21">
        <f>Tabela46[[#This Row],[Total of samples (N)  2]]*Tabela46[[#This Row],[23 (%)]]</f>
        <v>2360.739</v>
      </c>
      <c r="BI41" s="21">
        <f>Tabela46[[#This Row],[Total of samples (N)  2]]*Tabela46[[#This Row],[24 (%)]]</f>
        <v>460.63200000000001</v>
      </c>
      <c r="BJ41" s="21">
        <f>Tabela46[[#This Row],[Total of samples (N)  2]]*Tabela46[[#This Row],[33 (%)]]</f>
        <v>11458.221</v>
      </c>
      <c r="BK41" s="21">
        <f>Tabela46[[#This Row],[Total of samples (N)  2]]*Tabela46[[#This Row],[34 (%)]]</f>
        <v>4241.6530000000002</v>
      </c>
      <c r="BL41" s="21">
        <f>Tabela46[[#This Row],[Total of samples (N)  2]]*Tabela46[[#This Row],[44 (%)]]</f>
        <v>441.43899999999996</v>
      </c>
      <c r="BM41" s="21" t="s">
        <v>16</v>
      </c>
      <c r="BN41" s="55">
        <v>19193</v>
      </c>
      <c r="BO41" s="68" t="s">
        <v>439</v>
      </c>
    </row>
    <row r="42" spans="1:67" x14ac:dyDescent="0.25">
      <c r="A42" s="5" t="s">
        <v>297</v>
      </c>
      <c r="B42" s="1" t="s">
        <v>232</v>
      </c>
      <c r="C42" s="72">
        <v>1369</v>
      </c>
      <c r="D42" s="5" t="s">
        <v>20</v>
      </c>
      <c r="E42" s="58">
        <v>0.39400000000000002</v>
      </c>
      <c r="F42" s="13">
        <v>0.215</v>
      </c>
      <c r="G42" s="13" t="s">
        <v>16</v>
      </c>
      <c r="H42" s="13" t="s">
        <v>16</v>
      </c>
      <c r="I42" s="13">
        <v>6.0999999999999999E-2</v>
      </c>
      <c r="J42" s="13" t="s">
        <v>16</v>
      </c>
      <c r="K42" s="13" t="s">
        <v>16</v>
      </c>
      <c r="L42" s="13" t="s">
        <v>16</v>
      </c>
      <c r="M42" s="13" t="s">
        <v>16</v>
      </c>
      <c r="N42" s="13" t="s">
        <v>16</v>
      </c>
      <c r="O42" s="13" t="s">
        <v>16</v>
      </c>
      <c r="P42" s="13" t="s">
        <v>16</v>
      </c>
      <c r="Q42" s="13" t="s">
        <v>16</v>
      </c>
      <c r="R42" s="13" t="s">
        <v>16</v>
      </c>
      <c r="S42" s="13" t="s">
        <v>16</v>
      </c>
      <c r="T42" s="13" t="s">
        <v>16</v>
      </c>
      <c r="U42" s="13" t="s">
        <v>16</v>
      </c>
      <c r="V42" s="13" t="s">
        <v>16</v>
      </c>
      <c r="W42" s="13" t="s">
        <v>16</v>
      </c>
      <c r="X42" s="13" t="s">
        <v>16</v>
      </c>
      <c r="Y42" s="13" t="s">
        <v>16</v>
      </c>
      <c r="Z42" s="13">
        <v>0.33</v>
      </c>
      <c r="AA42" s="11">
        <v>1369</v>
      </c>
      <c r="AB42" s="58">
        <v>0.63300000000000001</v>
      </c>
      <c r="AC42" s="13">
        <v>0.36699999999999999</v>
      </c>
      <c r="AD42" s="21">
        <f>Tabela46[[#This Row],[Total of samples (N)  ]]*Tabela46[[#This Row],[Females (%)]]</f>
        <v>866.577</v>
      </c>
      <c r="AE42" s="21">
        <f>Tabela46[[#This Row],[Total of samples (N)  ]]*AC42</f>
        <v>502.423</v>
      </c>
      <c r="AF42" s="55">
        <v>1369</v>
      </c>
      <c r="AG42" s="5" t="s">
        <v>16</v>
      </c>
      <c r="AH42" s="5" t="s">
        <v>16</v>
      </c>
      <c r="AI42" s="5" t="s">
        <v>16</v>
      </c>
      <c r="AJ42" s="5" t="s">
        <v>16</v>
      </c>
      <c r="AK42" s="5" t="s">
        <v>16</v>
      </c>
      <c r="AL42" s="5" t="s">
        <v>16</v>
      </c>
      <c r="AM42" s="5" t="s">
        <v>16</v>
      </c>
      <c r="AN42" s="56" t="s">
        <v>16</v>
      </c>
      <c r="AO42" s="13" t="s">
        <v>16</v>
      </c>
      <c r="AP42" s="13" t="s">
        <v>16</v>
      </c>
      <c r="AQ42" s="13" t="s">
        <v>16</v>
      </c>
      <c r="AR42" s="21" t="s">
        <v>16</v>
      </c>
      <c r="AS42" s="21" t="s">
        <v>16</v>
      </c>
      <c r="AT42" s="21" t="s">
        <v>16</v>
      </c>
      <c r="AU42" s="56" t="s">
        <v>16</v>
      </c>
      <c r="AV42" s="74" t="s">
        <v>50</v>
      </c>
      <c r="AW42" s="9" t="s">
        <v>405</v>
      </c>
      <c r="AX42" s="9" t="s">
        <v>510</v>
      </c>
      <c r="AY42" s="9" t="s">
        <v>20</v>
      </c>
      <c r="AZ42" s="60">
        <v>5.0000000000000001E-3</v>
      </c>
      <c r="BA42" s="10">
        <v>9.7000000000000003E-2</v>
      </c>
      <c r="BB42" s="10">
        <v>0.01</v>
      </c>
      <c r="BC42" s="10">
        <v>0.50800000000000001</v>
      </c>
      <c r="BD42" s="10">
        <v>0.20799999999999999</v>
      </c>
      <c r="BE42" s="10">
        <v>0.02</v>
      </c>
      <c r="BF42" s="10">
        <v>0.152</v>
      </c>
      <c r="BG42" s="21">
        <f>Tabela46[[#This Row],[Total of samples (N)  2]]*Tabela46[[#This Row],[22 (%)]]</f>
        <v>6.8449999999999998</v>
      </c>
      <c r="BH42" s="21">
        <f>Tabela46[[#This Row],[Total of samples (N)  2]]*Tabela46[[#This Row],[23 (%)]]</f>
        <v>132.79300000000001</v>
      </c>
      <c r="BI42" s="21">
        <f>Tabela46[[#This Row],[Total of samples (N)  2]]*Tabela46[[#This Row],[24 (%)]]</f>
        <v>13.69</v>
      </c>
      <c r="BJ42" s="21">
        <f>Tabela46[[#This Row],[Total of samples (N)  2]]*Tabela46[[#This Row],[33 (%)]]</f>
        <v>695.452</v>
      </c>
      <c r="BK42" s="21">
        <f>Tabela46[[#This Row],[Total of samples (N)  2]]*Tabela46[[#This Row],[34 (%)]]</f>
        <v>284.75200000000001</v>
      </c>
      <c r="BL42" s="21">
        <f>Tabela46[[#This Row],[Total of samples (N)  2]]*Tabela46[[#This Row],[44 (%)]]</f>
        <v>27.38</v>
      </c>
      <c r="BM42" s="21">
        <f>Tabela46[[#This Row],[Total of samples (N)  2]]*Tabela46[[#This Row],[NA (%)]]</f>
        <v>208.08799999999999</v>
      </c>
      <c r="BN42" s="55">
        <v>1369</v>
      </c>
      <c r="BO42" s="68" t="s">
        <v>404</v>
      </c>
    </row>
    <row r="43" spans="1:67" x14ac:dyDescent="0.25">
      <c r="A43" s="5" t="s">
        <v>298</v>
      </c>
      <c r="B43" s="1" t="s">
        <v>218</v>
      </c>
      <c r="C43" s="73" t="s">
        <v>20</v>
      </c>
      <c r="D43" s="5" t="s">
        <v>20</v>
      </c>
      <c r="E43" s="58">
        <v>0.40600000000000003</v>
      </c>
      <c r="F43" s="13">
        <v>0.49099999999999999</v>
      </c>
      <c r="G43" s="13">
        <v>0.10100000000000001</v>
      </c>
      <c r="H43" s="13">
        <v>2E-3</v>
      </c>
      <c r="I43" s="13" t="s">
        <v>16</v>
      </c>
      <c r="J43" s="13" t="s">
        <v>16</v>
      </c>
      <c r="K43" s="13" t="s">
        <v>16</v>
      </c>
      <c r="L43" s="13" t="s">
        <v>16</v>
      </c>
      <c r="M43" s="13" t="s">
        <v>16</v>
      </c>
      <c r="N43" s="13" t="s">
        <v>16</v>
      </c>
      <c r="O43" s="13" t="s">
        <v>16</v>
      </c>
      <c r="P43" s="13" t="s">
        <v>16</v>
      </c>
      <c r="Q43" s="13" t="s">
        <v>16</v>
      </c>
      <c r="R43" s="13" t="s">
        <v>16</v>
      </c>
      <c r="S43" s="13" t="s">
        <v>16</v>
      </c>
      <c r="T43" s="13" t="s">
        <v>16</v>
      </c>
      <c r="U43" s="13" t="s">
        <v>16</v>
      </c>
      <c r="V43" s="13" t="s">
        <v>16</v>
      </c>
      <c r="W43" s="13" t="s">
        <v>16</v>
      </c>
      <c r="X43" s="13" t="s">
        <v>16</v>
      </c>
      <c r="Y43" s="13" t="s">
        <v>16</v>
      </c>
      <c r="Z43" s="13" t="s">
        <v>16</v>
      </c>
      <c r="AA43" s="11">
        <v>1598</v>
      </c>
      <c r="AB43" s="58">
        <v>0.54300000000000004</v>
      </c>
      <c r="AC43" s="13">
        <v>0.45700000000000002</v>
      </c>
      <c r="AD43" s="21">
        <f>Tabela46[[#This Row],[Total of samples (N)  ]]*Tabela46[[#This Row],[Females (%)]]</f>
        <v>867.71400000000006</v>
      </c>
      <c r="AE43" s="21">
        <f>Tabela46[[#This Row],[Total of samples (N)  ]]*AC43</f>
        <v>730.28600000000006</v>
      </c>
      <c r="AF43" s="55">
        <v>1598</v>
      </c>
      <c r="AG43" s="5" t="s">
        <v>16</v>
      </c>
      <c r="AH43" s="5">
        <v>1</v>
      </c>
      <c r="AI43" s="5">
        <v>1</v>
      </c>
      <c r="AJ43" s="11">
        <v>1591</v>
      </c>
      <c r="AK43" s="5" t="s">
        <v>16</v>
      </c>
      <c r="AL43" s="5" t="s">
        <v>16</v>
      </c>
      <c r="AM43" s="5">
        <v>5</v>
      </c>
      <c r="AN43" s="55">
        <v>1598</v>
      </c>
      <c r="AO43" s="13" t="s">
        <v>16</v>
      </c>
      <c r="AP43" s="13">
        <v>0.74199999999999999</v>
      </c>
      <c r="AQ43" s="13">
        <v>0.25800000000000001</v>
      </c>
      <c r="AR43" s="21" t="s">
        <v>16</v>
      </c>
      <c r="AS43" s="21">
        <f>Tabela46[[#This Row],[Total of samples (N)]]*Tabela46[[#This Row],[Not Hispanic or Latino (%)]]</f>
        <v>1185.7159999999999</v>
      </c>
      <c r="AT43" s="21">
        <f>Tabela46[[#This Row],[Total of samples (N)]]*Tabela46[[#This Row],[NA (%) ]]</f>
        <v>412.28399999999999</v>
      </c>
      <c r="AU43" s="55">
        <v>1598</v>
      </c>
      <c r="AV43" s="74" t="s">
        <v>20</v>
      </c>
      <c r="AW43" s="9" t="s">
        <v>20</v>
      </c>
      <c r="AX43" s="9" t="s">
        <v>20</v>
      </c>
      <c r="AY43" s="9" t="s">
        <v>20</v>
      </c>
      <c r="AZ43" s="60">
        <v>4.0000000000000001E-3</v>
      </c>
      <c r="BA43" s="10">
        <v>9.4E-2</v>
      </c>
      <c r="BB43" s="10">
        <v>2.9000000000000001E-2</v>
      </c>
      <c r="BC43" s="10">
        <v>0.47499999999999998</v>
      </c>
      <c r="BD43" s="10">
        <v>0.31900000000000001</v>
      </c>
      <c r="BE43" s="10">
        <v>6.0999999999999999E-2</v>
      </c>
      <c r="BF43" s="10">
        <v>1.7000000000000001E-2</v>
      </c>
      <c r="BG43" s="21">
        <f>Tabela46[[#This Row],[Total of samples (N)  2]]*Tabela46[[#This Row],[22 (%)]]</f>
        <v>6.3920000000000003</v>
      </c>
      <c r="BH43" s="21">
        <f>Tabela46[[#This Row],[Total of samples (N)  2]]*Tabela46[[#This Row],[23 (%)]]</f>
        <v>150.21199999999999</v>
      </c>
      <c r="BI43" s="21">
        <f>Tabela46[[#This Row],[Total of samples (N)  2]]*Tabela46[[#This Row],[24 (%)]]</f>
        <v>46.342000000000006</v>
      </c>
      <c r="BJ43" s="21">
        <f>Tabela46[[#This Row],[Total of samples (N)  2]]*Tabela46[[#This Row],[33 (%)]]</f>
        <v>759.05</v>
      </c>
      <c r="BK43" s="21">
        <f>Tabela46[[#This Row],[Total of samples (N)  2]]*Tabela46[[#This Row],[34 (%)]]</f>
        <v>509.762</v>
      </c>
      <c r="BL43" s="21">
        <f>Tabela46[[#This Row],[Total of samples (N)  2]]*Tabela46[[#This Row],[44 (%)]]</f>
        <v>97.477999999999994</v>
      </c>
      <c r="BM43" s="21">
        <f>Tabela46[[#This Row],[Total of samples (N)  2]]*Tabela46[[#This Row],[NA (%)]]</f>
        <v>27.166</v>
      </c>
      <c r="BN43" s="55">
        <v>1598</v>
      </c>
      <c r="BO43" s="68" t="s">
        <v>20</v>
      </c>
    </row>
    <row r="44" spans="1:67" x14ac:dyDescent="0.25">
      <c r="A44" s="5" t="s">
        <v>299</v>
      </c>
      <c r="B44" s="1" t="s">
        <v>394</v>
      </c>
      <c r="C44" s="72">
        <v>4018</v>
      </c>
      <c r="D44" s="5" t="s">
        <v>20</v>
      </c>
      <c r="E44" s="58" t="s">
        <v>16</v>
      </c>
      <c r="F44" s="13" t="s">
        <v>16</v>
      </c>
      <c r="G44" s="13" t="s">
        <v>16</v>
      </c>
      <c r="H44" s="13" t="s">
        <v>16</v>
      </c>
      <c r="I44" s="13" t="s">
        <v>16</v>
      </c>
      <c r="J44" s="13" t="s">
        <v>16</v>
      </c>
      <c r="K44" s="13" t="s">
        <v>16</v>
      </c>
      <c r="L44" s="13" t="s">
        <v>16</v>
      </c>
      <c r="M44" s="13" t="s">
        <v>16</v>
      </c>
      <c r="N44" s="13" t="s">
        <v>16</v>
      </c>
      <c r="O44" s="13" t="s">
        <v>16</v>
      </c>
      <c r="P44" s="13" t="s">
        <v>16</v>
      </c>
      <c r="Q44" s="13" t="s">
        <v>16</v>
      </c>
      <c r="R44" s="13" t="s">
        <v>16</v>
      </c>
      <c r="S44" s="13" t="s">
        <v>16</v>
      </c>
      <c r="T44" s="13" t="s">
        <v>16</v>
      </c>
      <c r="U44" s="13" t="s">
        <v>16</v>
      </c>
      <c r="V44" s="13" t="s">
        <v>16</v>
      </c>
      <c r="W44" s="13" t="s">
        <v>16</v>
      </c>
      <c r="X44" s="13">
        <v>1</v>
      </c>
      <c r="Y44" s="13" t="s">
        <v>16</v>
      </c>
      <c r="Z44" s="13" t="s">
        <v>16</v>
      </c>
      <c r="AA44" s="11">
        <v>4018</v>
      </c>
      <c r="AB44" s="58">
        <v>0.58499999999999996</v>
      </c>
      <c r="AC44" s="13">
        <v>0.41499999999999998</v>
      </c>
      <c r="AD44" s="21">
        <f>Tabela46[[#This Row],[Total of samples (N)  ]]*Tabela46[[#This Row],[Females (%)]]</f>
        <v>2350.5299999999997</v>
      </c>
      <c r="AE44" s="21">
        <f>Tabela46[[#This Row],[Total of samples (N)  ]]*AC44</f>
        <v>1667.47</v>
      </c>
      <c r="AF44" s="55">
        <v>4018</v>
      </c>
      <c r="AG44" s="5" t="s">
        <v>16</v>
      </c>
      <c r="AH44" s="5" t="s">
        <v>16</v>
      </c>
      <c r="AI44" s="5">
        <v>674</v>
      </c>
      <c r="AJ44" s="11">
        <v>3013</v>
      </c>
      <c r="AK44" s="5" t="s">
        <v>16</v>
      </c>
      <c r="AL44" s="5">
        <v>318</v>
      </c>
      <c r="AM44" s="5">
        <v>13</v>
      </c>
      <c r="AN44" s="55">
        <v>4018</v>
      </c>
      <c r="AO44" s="13">
        <v>0.14099999999999999</v>
      </c>
      <c r="AP44" s="13">
        <v>0.85899999999999999</v>
      </c>
      <c r="AQ44" s="13" t="s">
        <v>16</v>
      </c>
      <c r="AR44" s="21">
        <f>Tabela46[[#This Row],[Total of samples (N)]]*Tabela46[[#This Row],[Hispanic or Latino (%)]]</f>
        <v>566.5379999999999</v>
      </c>
      <c r="AS44" s="21">
        <f>Tabela46[[#This Row],[Total of samples (N)]]*Tabela46[[#This Row],[Not Hispanic or Latino (%)]]</f>
        <v>3451.462</v>
      </c>
      <c r="AT44" s="21" t="s">
        <v>16</v>
      </c>
      <c r="AU44" s="55">
        <v>4018</v>
      </c>
      <c r="AV44" s="74" t="s">
        <v>20</v>
      </c>
      <c r="AW44" s="9" t="s">
        <v>443</v>
      </c>
      <c r="AX44" s="9" t="s">
        <v>511</v>
      </c>
      <c r="AY44" s="9" t="s">
        <v>20</v>
      </c>
      <c r="AZ44" s="60" t="s">
        <v>16</v>
      </c>
      <c r="BA44" s="10" t="s">
        <v>16</v>
      </c>
      <c r="BB44" s="10" t="s">
        <v>16</v>
      </c>
      <c r="BC44" s="10" t="s">
        <v>16</v>
      </c>
      <c r="BD44" s="10" t="s">
        <v>16</v>
      </c>
      <c r="BE44" s="10" t="s">
        <v>16</v>
      </c>
      <c r="BF44" s="10" t="s">
        <v>16</v>
      </c>
      <c r="BG44" s="21" t="s">
        <v>16</v>
      </c>
      <c r="BH44" s="21" t="s">
        <v>16</v>
      </c>
      <c r="BI44" s="21" t="s">
        <v>16</v>
      </c>
      <c r="BJ44" s="21" t="s">
        <v>16</v>
      </c>
      <c r="BK44" s="21" t="s">
        <v>16</v>
      </c>
      <c r="BL44" s="21" t="s">
        <v>16</v>
      </c>
      <c r="BM44" s="21" t="s">
        <v>16</v>
      </c>
      <c r="BN44" s="57" t="s">
        <v>16</v>
      </c>
      <c r="BO44" s="68" t="s">
        <v>20</v>
      </c>
    </row>
    <row r="45" spans="1:67" x14ac:dyDescent="0.25">
      <c r="A45" s="5" t="s">
        <v>300</v>
      </c>
      <c r="B45" s="1" t="s">
        <v>437</v>
      </c>
      <c r="C45" s="73" t="s">
        <v>20</v>
      </c>
      <c r="D45" s="5" t="s">
        <v>20</v>
      </c>
      <c r="E45" s="58" t="s">
        <v>16</v>
      </c>
      <c r="F45" s="13" t="s">
        <v>16</v>
      </c>
      <c r="G45" s="13" t="s">
        <v>16</v>
      </c>
      <c r="H45" s="13" t="s">
        <v>16</v>
      </c>
      <c r="I45" s="13" t="s">
        <v>16</v>
      </c>
      <c r="J45" s="13" t="s">
        <v>16</v>
      </c>
      <c r="K45" s="13" t="s">
        <v>16</v>
      </c>
      <c r="L45" s="13" t="s">
        <v>16</v>
      </c>
      <c r="M45" s="13" t="s">
        <v>16</v>
      </c>
      <c r="N45" s="13" t="s">
        <v>16</v>
      </c>
      <c r="O45" s="13" t="s">
        <v>16</v>
      </c>
      <c r="P45" s="13" t="s">
        <v>16</v>
      </c>
      <c r="Q45" s="13" t="s">
        <v>16</v>
      </c>
      <c r="R45" s="13" t="s">
        <v>16</v>
      </c>
      <c r="S45" s="13" t="s">
        <v>16</v>
      </c>
      <c r="T45" s="13" t="s">
        <v>16</v>
      </c>
      <c r="U45" s="13" t="s">
        <v>16</v>
      </c>
      <c r="V45" s="13" t="s">
        <v>16</v>
      </c>
      <c r="W45" s="13" t="s">
        <v>16</v>
      </c>
      <c r="X45" s="13" t="s">
        <v>16</v>
      </c>
      <c r="Y45" s="13" t="s">
        <v>16</v>
      </c>
      <c r="Z45" s="13" t="s">
        <v>16</v>
      </c>
      <c r="AA45" s="10" t="s">
        <v>16</v>
      </c>
      <c r="AB45" s="58" t="s">
        <v>16</v>
      </c>
      <c r="AC45" s="13" t="s">
        <v>16</v>
      </c>
      <c r="AD45" s="21" t="s">
        <v>16</v>
      </c>
      <c r="AE45" s="21" t="s">
        <v>16</v>
      </c>
      <c r="AF45" s="57" t="s">
        <v>16</v>
      </c>
      <c r="AG45" s="10" t="s">
        <v>16</v>
      </c>
      <c r="AH45" s="10" t="s">
        <v>16</v>
      </c>
      <c r="AI45" s="10" t="s">
        <v>16</v>
      </c>
      <c r="AJ45" s="10" t="s">
        <v>16</v>
      </c>
      <c r="AK45" s="10" t="s">
        <v>16</v>
      </c>
      <c r="AL45" s="10" t="s">
        <v>16</v>
      </c>
      <c r="AM45" s="10" t="s">
        <v>16</v>
      </c>
      <c r="AN45" s="57" t="s">
        <v>16</v>
      </c>
      <c r="AO45" s="13" t="s">
        <v>16</v>
      </c>
      <c r="AP45" s="13" t="s">
        <v>16</v>
      </c>
      <c r="AQ45" s="13" t="s">
        <v>16</v>
      </c>
      <c r="AR45" s="21" t="s">
        <v>16</v>
      </c>
      <c r="AS45" s="21" t="s">
        <v>16</v>
      </c>
      <c r="AT45" s="21" t="s">
        <v>16</v>
      </c>
      <c r="AU45" s="57" t="s">
        <v>16</v>
      </c>
      <c r="AV45" s="74" t="s">
        <v>20</v>
      </c>
      <c r="AW45" s="9" t="s">
        <v>20</v>
      </c>
      <c r="AX45" s="15" t="s">
        <v>16</v>
      </c>
      <c r="AY45" s="15" t="s">
        <v>16</v>
      </c>
      <c r="AZ45" s="60" t="s">
        <v>16</v>
      </c>
      <c r="BA45" s="10" t="s">
        <v>16</v>
      </c>
      <c r="BB45" s="10" t="s">
        <v>16</v>
      </c>
      <c r="BC45" s="10" t="s">
        <v>16</v>
      </c>
      <c r="BD45" s="10" t="s">
        <v>16</v>
      </c>
      <c r="BE45" s="10" t="s">
        <v>16</v>
      </c>
      <c r="BF45" s="10" t="s">
        <v>16</v>
      </c>
      <c r="BG45" s="21" t="s">
        <v>16</v>
      </c>
      <c r="BH45" s="21" t="s">
        <v>16</v>
      </c>
      <c r="BI45" s="21" t="s">
        <v>16</v>
      </c>
      <c r="BJ45" s="21" t="s">
        <v>16</v>
      </c>
      <c r="BK45" s="21" t="s">
        <v>16</v>
      </c>
      <c r="BL45" s="21" t="s">
        <v>16</v>
      </c>
      <c r="BM45" s="21" t="s">
        <v>16</v>
      </c>
      <c r="BN45" s="57" t="s">
        <v>16</v>
      </c>
      <c r="BO45" s="69" t="s">
        <v>20</v>
      </c>
    </row>
    <row r="46" spans="1:67" x14ac:dyDescent="0.25">
      <c r="A46" s="5" t="s">
        <v>301</v>
      </c>
      <c r="B46" s="1" t="s">
        <v>199</v>
      </c>
      <c r="C46" s="73" t="s">
        <v>20</v>
      </c>
      <c r="D46" s="5" t="s">
        <v>20</v>
      </c>
      <c r="E46" s="58">
        <v>3.4000000000000002E-2</v>
      </c>
      <c r="F46" s="13">
        <v>0.14599999999999999</v>
      </c>
      <c r="G46" s="13" t="s">
        <v>16</v>
      </c>
      <c r="H46" s="13">
        <v>0.82</v>
      </c>
      <c r="I46" s="13" t="s">
        <v>16</v>
      </c>
      <c r="J46" s="13" t="s">
        <v>16</v>
      </c>
      <c r="K46" s="13" t="s">
        <v>16</v>
      </c>
      <c r="L46" s="13" t="s">
        <v>16</v>
      </c>
      <c r="M46" s="13" t="s">
        <v>16</v>
      </c>
      <c r="N46" s="13" t="s">
        <v>16</v>
      </c>
      <c r="O46" s="13" t="s">
        <v>16</v>
      </c>
      <c r="P46" s="13" t="s">
        <v>16</v>
      </c>
      <c r="Q46" s="13" t="s">
        <v>16</v>
      </c>
      <c r="R46" s="13" t="s">
        <v>16</v>
      </c>
      <c r="S46" s="13" t="s">
        <v>16</v>
      </c>
      <c r="T46" s="13" t="s">
        <v>16</v>
      </c>
      <c r="U46" s="13" t="s">
        <v>16</v>
      </c>
      <c r="V46" s="13" t="s">
        <v>16</v>
      </c>
      <c r="W46" s="13" t="s">
        <v>16</v>
      </c>
      <c r="X46" s="13" t="s">
        <v>16</v>
      </c>
      <c r="Y46" s="13" t="s">
        <v>16</v>
      </c>
      <c r="Z46" s="13" t="s">
        <v>16</v>
      </c>
      <c r="AA46" s="11">
        <v>2768</v>
      </c>
      <c r="AB46" s="58">
        <v>0.54800000000000004</v>
      </c>
      <c r="AC46" s="13">
        <v>0.45200000000000001</v>
      </c>
      <c r="AD46" s="21">
        <f>Tabela46[[#This Row],[Total of samples (N)  ]]*Tabela46[[#This Row],[Females (%)]]</f>
        <v>1516.864</v>
      </c>
      <c r="AE46" s="21">
        <f>Tabela46[[#This Row],[Total of samples (N)  ]]*AC46</f>
        <v>1251.136</v>
      </c>
      <c r="AF46" s="55">
        <v>2768</v>
      </c>
      <c r="AG46" s="5">
        <v>3</v>
      </c>
      <c r="AH46" s="5">
        <v>6</v>
      </c>
      <c r="AI46" s="5">
        <v>82</v>
      </c>
      <c r="AJ46" s="5">
        <v>632</v>
      </c>
      <c r="AK46" s="5" t="s">
        <v>16</v>
      </c>
      <c r="AL46" s="5">
        <v>9</v>
      </c>
      <c r="AM46" s="11">
        <v>2036</v>
      </c>
      <c r="AN46" s="55">
        <v>2768</v>
      </c>
      <c r="AO46" s="13">
        <v>1.4E-2</v>
      </c>
      <c r="AP46" s="13">
        <v>0.249</v>
      </c>
      <c r="AQ46" s="13">
        <v>0.73699999999999999</v>
      </c>
      <c r="AR46" s="21">
        <f>Tabela46[[#This Row],[Total of samples (N)]]*Tabela46[[#This Row],[Hispanic or Latino (%)]]</f>
        <v>38.752000000000002</v>
      </c>
      <c r="AS46" s="21">
        <f>Tabela46[[#This Row],[Total of samples (N)]]*Tabela46[[#This Row],[Not Hispanic or Latino (%)]]</f>
        <v>689.23199999999997</v>
      </c>
      <c r="AT46" s="21">
        <f>Tabela46[[#This Row],[Total of samples (N)]]*Tabela46[[#This Row],[NA (%) ]]</f>
        <v>2040.0160000000001</v>
      </c>
      <c r="AU46" s="55">
        <v>2768</v>
      </c>
      <c r="AV46" s="74" t="s">
        <v>257</v>
      </c>
      <c r="AW46" s="9" t="s">
        <v>481</v>
      </c>
      <c r="AX46" s="9" t="s">
        <v>482</v>
      </c>
      <c r="AY46" s="9" t="s">
        <v>20</v>
      </c>
      <c r="AZ46" s="60">
        <v>4.0000000000000001E-3</v>
      </c>
      <c r="BA46" s="10">
        <v>0.06</v>
      </c>
      <c r="BB46" s="10">
        <v>2.1000000000000001E-2</v>
      </c>
      <c r="BC46" s="10">
        <v>0.38300000000000001</v>
      </c>
      <c r="BD46" s="10">
        <v>0.40699999999999997</v>
      </c>
      <c r="BE46" s="10">
        <v>0.12</v>
      </c>
      <c r="BF46" s="10">
        <v>6.0000000000000001E-3</v>
      </c>
      <c r="BG46" s="21">
        <f>Tabela46[[#This Row],[Total of samples (N)  2]]*Tabela46[[#This Row],[22 (%)]]</f>
        <v>11.072000000000001</v>
      </c>
      <c r="BH46" s="21">
        <f>Tabela46[[#This Row],[Total of samples (N)  2]]*Tabela46[[#This Row],[23 (%)]]</f>
        <v>166.07999999999998</v>
      </c>
      <c r="BI46" s="21">
        <f>Tabela46[[#This Row],[Total of samples (N)  2]]*Tabela46[[#This Row],[24 (%)]]</f>
        <v>58.128</v>
      </c>
      <c r="BJ46" s="21">
        <f>Tabela46[[#This Row],[Total of samples (N)  2]]*Tabela46[[#This Row],[33 (%)]]</f>
        <v>1060.144</v>
      </c>
      <c r="BK46" s="21">
        <f>Tabela46[[#This Row],[Total of samples (N)  2]]*Tabela46[[#This Row],[34 (%)]]</f>
        <v>1126.576</v>
      </c>
      <c r="BL46" s="21">
        <f>Tabela46[[#This Row],[Total of samples (N)  2]]*Tabela46[[#This Row],[44 (%)]]</f>
        <v>332.15999999999997</v>
      </c>
      <c r="BM46" s="21">
        <f>Tabela46[[#This Row],[Total of samples (N)  2]]*Tabela46[[#This Row],[NA (%)]]</f>
        <v>16.608000000000001</v>
      </c>
      <c r="BN46" s="55">
        <v>2768</v>
      </c>
      <c r="BO46" s="68" t="s">
        <v>20</v>
      </c>
    </row>
    <row r="47" spans="1:67" x14ac:dyDescent="0.25">
      <c r="A47" s="5" t="s">
        <v>302</v>
      </c>
      <c r="B47" s="1" t="s">
        <v>201</v>
      </c>
      <c r="C47" s="73" t="s">
        <v>20</v>
      </c>
      <c r="D47" s="5" t="s">
        <v>20</v>
      </c>
      <c r="E47" s="58">
        <v>0.53100000000000003</v>
      </c>
      <c r="F47" s="13">
        <v>0.114</v>
      </c>
      <c r="G47" s="13" t="s">
        <v>16</v>
      </c>
      <c r="H47" s="13">
        <v>0.35599999999999998</v>
      </c>
      <c r="I47" s="13" t="s">
        <v>16</v>
      </c>
      <c r="J47" s="13" t="s">
        <v>16</v>
      </c>
      <c r="K47" s="13" t="s">
        <v>16</v>
      </c>
      <c r="L47" s="13" t="s">
        <v>16</v>
      </c>
      <c r="M47" s="13" t="s">
        <v>16</v>
      </c>
      <c r="N47" s="13" t="s">
        <v>16</v>
      </c>
      <c r="O47" s="13" t="s">
        <v>16</v>
      </c>
      <c r="P47" s="13" t="s">
        <v>16</v>
      </c>
      <c r="Q47" s="13" t="s">
        <v>16</v>
      </c>
      <c r="R47" s="13" t="s">
        <v>16</v>
      </c>
      <c r="S47" s="13" t="s">
        <v>16</v>
      </c>
      <c r="T47" s="13" t="s">
        <v>16</v>
      </c>
      <c r="U47" s="13" t="s">
        <v>16</v>
      </c>
      <c r="V47" s="13" t="s">
        <v>16</v>
      </c>
      <c r="W47" s="13" t="s">
        <v>16</v>
      </c>
      <c r="X47" s="13" t="s">
        <v>16</v>
      </c>
      <c r="Y47" s="13" t="s">
        <v>16</v>
      </c>
      <c r="Z47" s="13" t="s">
        <v>16</v>
      </c>
      <c r="AA47" s="5">
        <v>925</v>
      </c>
      <c r="AB47" s="58">
        <v>0.53700000000000003</v>
      </c>
      <c r="AC47" s="13">
        <v>0.45800000000000002</v>
      </c>
      <c r="AD47" s="21">
        <f>Tabela46[[#This Row],[Total of samples (N)  ]]*Tabela46[[#This Row],[Females (%)]]</f>
        <v>496.72500000000002</v>
      </c>
      <c r="AE47" s="21">
        <f>Tabela46[[#This Row],[Total of samples (N)  ]]*AC47</f>
        <v>423.65000000000003</v>
      </c>
      <c r="AF47" s="56">
        <v>925</v>
      </c>
      <c r="AG47" s="5" t="s">
        <v>16</v>
      </c>
      <c r="AH47" s="5" t="s">
        <v>16</v>
      </c>
      <c r="AI47" s="5" t="s">
        <v>16</v>
      </c>
      <c r="AJ47" s="5">
        <v>741</v>
      </c>
      <c r="AK47" s="5" t="s">
        <v>16</v>
      </c>
      <c r="AL47" s="5" t="s">
        <v>16</v>
      </c>
      <c r="AM47" s="5">
        <v>184</v>
      </c>
      <c r="AN47" s="56">
        <v>925</v>
      </c>
      <c r="AO47" s="13" t="s">
        <v>16</v>
      </c>
      <c r="AP47" s="13">
        <v>0.80100000000000005</v>
      </c>
      <c r="AQ47" s="13">
        <v>0.19900000000000001</v>
      </c>
      <c r="AR47" s="21" t="s">
        <v>16</v>
      </c>
      <c r="AS47" s="21">
        <f>Tabela46[[#This Row],[Total of samples (N)]]*Tabela46[[#This Row],[Not Hispanic or Latino (%)]]</f>
        <v>740.92500000000007</v>
      </c>
      <c r="AT47" s="21">
        <f>Tabela46[[#This Row],[Total of samples (N)]]*Tabela46[[#This Row],[NA (%) ]]</f>
        <v>184.07500000000002</v>
      </c>
      <c r="AU47" s="56">
        <v>925</v>
      </c>
      <c r="AV47" s="74" t="s">
        <v>257</v>
      </c>
      <c r="AW47" s="9" t="s">
        <v>481</v>
      </c>
      <c r="AX47" s="9" t="s">
        <v>482</v>
      </c>
      <c r="AY47" s="9" t="s">
        <v>20</v>
      </c>
      <c r="AZ47" s="60">
        <v>3.0000000000000001E-3</v>
      </c>
      <c r="BA47" s="10">
        <v>5.8999999999999997E-2</v>
      </c>
      <c r="BB47" s="10">
        <v>2.5999999999999999E-2</v>
      </c>
      <c r="BC47" s="10">
        <v>0.38300000000000001</v>
      </c>
      <c r="BD47" s="10">
        <v>0.39</v>
      </c>
      <c r="BE47" s="10">
        <v>0.13</v>
      </c>
      <c r="BF47" s="10">
        <v>8.9999999999999993E-3</v>
      </c>
      <c r="BG47" s="21">
        <f>Tabela46[[#This Row],[Total of samples (N)  2]]*Tabela46[[#This Row],[22 (%)]]</f>
        <v>2.7749999999999999</v>
      </c>
      <c r="BH47" s="21">
        <f>Tabela46[[#This Row],[Total of samples (N)  2]]*Tabela46[[#This Row],[23 (%)]]</f>
        <v>54.574999999999996</v>
      </c>
      <c r="BI47" s="21">
        <f>Tabela46[[#This Row],[Total of samples (N)  2]]*Tabela46[[#This Row],[24 (%)]]</f>
        <v>24.049999999999997</v>
      </c>
      <c r="BJ47" s="21">
        <f>Tabela46[[#This Row],[Total of samples (N)  2]]*Tabela46[[#This Row],[33 (%)]]</f>
        <v>354.27500000000003</v>
      </c>
      <c r="BK47" s="21">
        <f>Tabela46[[#This Row],[Total of samples (N)  2]]*Tabela46[[#This Row],[34 (%)]]</f>
        <v>360.75</v>
      </c>
      <c r="BL47" s="21">
        <f>Tabela46[[#This Row],[Total of samples (N)  2]]*Tabela46[[#This Row],[44 (%)]]</f>
        <v>120.25</v>
      </c>
      <c r="BM47" s="21">
        <f>Tabela46[[#This Row],[Total of samples (N)  2]]*Tabela46[[#This Row],[NA (%)]]</f>
        <v>8.3249999999999993</v>
      </c>
      <c r="BN47" s="56">
        <v>925</v>
      </c>
      <c r="BO47" s="68" t="s">
        <v>20</v>
      </c>
    </row>
    <row r="48" spans="1:67" x14ac:dyDescent="0.25">
      <c r="A48" s="5" t="s">
        <v>303</v>
      </c>
      <c r="B48" s="1" t="s">
        <v>203</v>
      </c>
      <c r="C48" s="73" t="s">
        <v>20</v>
      </c>
      <c r="D48" s="5" t="s">
        <v>20</v>
      </c>
      <c r="E48" s="58">
        <v>0.311</v>
      </c>
      <c r="F48" s="13">
        <v>0.24099999999999999</v>
      </c>
      <c r="G48" s="13" t="s">
        <v>16</v>
      </c>
      <c r="H48" s="13">
        <v>0.44900000000000001</v>
      </c>
      <c r="I48" s="13" t="s">
        <v>16</v>
      </c>
      <c r="J48" s="13" t="s">
        <v>16</v>
      </c>
      <c r="K48" s="13" t="s">
        <v>16</v>
      </c>
      <c r="L48" s="13" t="s">
        <v>16</v>
      </c>
      <c r="M48" s="13" t="s">
        <v>16</v>
      </c>
      <c r="N48" s="13" t="s">
        <v>16</v>
      </c>
      <c r="O48" s="13" t="s">
        <v>16</v>
      </c>
      <c r="P48" s="13" t="s">
        <v>16</v>
      </c>
      <c r="Q48" s="13" t="s">
        <v>16</v>
      </c>
      <c r="R48" s="13" t="s">
        <v>16</v>
      </c>
      <c r="S48" s="13" t="s">
        <v>16</v>
      </c>
      <c r="T48" s="13" t="s">
        <v>16</v>
      </c>
      <c r="U48" s="13" t="s">
        <v>16</v>
      </c>
      <c r="V48" s="13" t="s">
        <v>16</v>
      </c>
      <c r="W48" s="13" t="s">
        <v>16</v>
      </c>
      <c r="X48" s="13" t="s">
        <v>16</v>
      </c>
      <c r="Y48" s="13" t="s">
        <v>16</v>
      </c>
      <c r="Z48" s="13" t="s">
        <v>16</v>
      </c>
      <c r="AA48" s="11">
        <v>2040</v>
      </c>
      <c r="AB48" s="58" t="s">
        <v>16</v>
      </c>
      <c r="AC48" s="13" t="s">
        <v>16</v>
      </c>
      <c r="AD48" s="21" t="s">
        <v>16</v>
      </c>
      <c r="AE48" s="21" t="s">
        <v>16</v>
      </c>
      <c r="AF48" s="55" t="s">
        <v>16</v>
      </c>
      <c r="AG48" s="5" t="s">
        <v>16</v>
      </c>
      <c r="AH48" s="5" t="s">
        <v>16</v>
      </c>
      <c r="AI48" s="5">
        <v>260</v>
      </c>
      <c r="AJ48" s="11">
        <v>1103</v>
      </c>
      <c r="AK48" s="5" t="s">
        <v>16</v>
      </c>
      <c r="AL48" s="5">
        <v>1</v>
      </c>
      <c r="AM48" s="5">
        <v>676</v>
      </c>
      <c r="AN48" s="55">
        <v>2040</v>
      </c>
      <c r="AO48" s="13">
        <v>8.0000000000000002E-3</v>
      </c>
      <c r="AP48" s="13">
        <v>0.65800000000000003</v>
      </c>
      <c r="AQ48" s="13">
        <v>0.33400000000000002</v>
      </c>
      <c r="AR48" s="21">
        <f>Tabela46[[#This Row],[Total of samples (N)]]*Tabela46[[#This Row],[Hispanic or Latino (%)]]</f>
        <v>16.32</v>
      </c>
      <c r="AS48" s="21">
        <f>Tabela46[[#This Row],[Total of samples (N)]]*Tabela46[[#This Row],[Not Hispanic or Latino (%)]]</f>
        <v>1342.3200000000002</v>
      </c>
      <c r="AT48" s="21">
        <f>Tabela46[[#This Row],[Total of samples (N)]]*Tabela46[[#This Row],[NA (%) ]]</f>
        <v>681.36</v>
      </c>
      <c r="AU48" s="55">
        <v>2040</v>
      </c>
      <c r="AV48" s="74" t="s">
        <v>257</v>
      </c>
      <c r="AW48" s="9" t="s">
        <v>426</v>
      </c>
      <c r="AX48" s="9" t="s">
        <v>512</v>
      </c>
      <c r="AY48" s="9" t="s">
        <v>20</v>
      </c>
      <c r="AZ48" s="60" t="s">
        <v>424</v>
      </c>
      <c r="BA48" s="10">
        <v>6.7000000000000004E-2</v>
      </c>
      <c r="BB48" s="10">
        <v>2.9000000000000001E-2</v>
      </c>
      <c r="BC48" s="10">
        <v>0.38500000000000001</v>
      </c>
      <c r="BD48" s="10">
        <v>0.318</v>
      </c>
      <c r="BE48" s="10">
        <v>7.6999999999999999E-2</v>
      </c>
      <c r="BF48" s="10">
        <v>0.12</v>
      </c>
      <c r="BG48" s="21" t="s">
        <v>16</v>
      </c>
      <c r="BH48" s="21">
        <f>Tabela46[[#This Row],[Total of samples (N)  2]]*Tabela46[[#This Row],[23 (%)]]</f>
        <v>136.68</v>
      </c>
      <c r="BI48" s="21">
        <f>Tabela46[[#This Row],[Total of samples (N)  2]]*Tabela46[[#This Row],[24 (%)]]</f>
        <v>59.160000000000004</v>
      </c>
      <c r="BJ48" s="21">
        <f>Tabela46[[#This Row],[Total of samples (N)  2]]*Tabela46[[#This Row],[33 (%)]]</f>
        <v>785.4</v>
      </c>
      <c r="BK48" s="21">
        <f>Tabela46[[#This Row],[Total of samples (N)  2]]*Tabela46[[#This Row],[34 (%)]]</f>
        <v>648.72</v>
      </c>
      <c r="BL48" s="21">
        <f>Tabela46[[#This Row],[Total of samples (N)  2]]*Tabela46[[#This Row],[44 (%)]]</f>
        <v>157.07999999999998</v>
      </c>
      <c r="BM48" s="21">
        <f>Tabela46[[#This Row],[Total of samples (N)  2]]*Tabela46[[#This Row],[NA (%)]]</f>
        <v>244.79999999999998</v>
      </c>
      <c r="BN48" s="55">
        <v>2040</v>
      </c>
      <c r="BO48" s="68" t="s">
        <v>20</v>
      </c>
    </row>
    <row r="49" spans="1:67" x14ac:dyDescent="0.25">
      <c r="A49" s="5" t="s">
        <v>304</v>
      </c>
      <c r="B49" s="1" t="s">
        <v>210</v>
      </c>
      <c r="C49" s="73" t="s">
        <v>20</v>
      </c>
      <c r="D49" s="5" t="s">
        <v>20</v>
      </c>
      <c r="E49" s="58">
        <v>0.35599999999999998</v>
      </c>
      <c r="F49" s="13">
        <v>0.33400000000000002</v>
      </c>
      <c r="G49" s="13" t="s">
        <v>16</v>
      </c>
      <c r="H49" s="13">
        <v>0.31</v>
      </c>
      <c r="I49" s="13" t="s">
        <v>16</v>
      </c>
      <c r="J49" s="13" t="s">
        <v>16</v>
      </c>
      <c r="K49" s="13" t="s">
        <v>16</v>
      </c>
      <c r="L49" s="13" t="s">
        <v>16</v>
      </c>
      <c r="M49" s="13" t="s">
        <v>16</v>
      </c>
      <c r="N49" s="13" t="s">
        <v>16</v>
      </c>
      <c r="O49" s="13" t="s">
        <v>16</v>
      </c>
      <c r="P49" s="13" t="s">
        <v>16</v>
      </c>
      <c r="Q49" s="13" t="s">
        <v>16</v>
      </c>
      <c r="R49" s="13" t="s">
        <v>16</v>
      </c>
      <c r="S49" s="13" t="s">
        <v>16</v>
      </c>
      <c r="T49" s="13" t="s">
        <v>16</v>
      </c>
      <c r="U49" s="13" t="s">
        <v>16</v>
      </c>
      <c r="V49" s="13" t="s">
        <v>16</v>
      </c>
      <c r="W49" s="13" t="s">
        <v>16</v>
      </c>
      <c r="X49" s="13" t="s">
        <v>16</v>
      </c>
      <c r="Y49" s="13" t="s">
        <v>16</v>
      </c>
      <c r="Z49" s="13" t="s">
        <v>16</v>
      </c>
      <c r="AA49" s="11">
        <v>1054</v>
      </c>
      <c r="AB49" s="58">
        <v>0.57199999999999995</v>
      </c>
      <c r="AC49" s="13">
        <v>0.42799999999999999</v>
      </c>
      <c r="AD49" s="21">
        <f>Tabela46[[#This Row],[Total of samples (N)  ]]*Tabela46[[#This Row],[Females (%)]]</f>
        <v>602.88799999999992</v>
      </c>
      <c r="AE49" s="21">
        <f>Tabela46[[#This Row],[Total of samples (N)  ]]*AC49</f>
        <v>451.11199999999997</v>
      </c>
      <c r="AF49" s="55">
        <v>1054</v>
      </c>
      <c r="AG49" s="5" t="s">
        <v>16</v>
      </c>
      <c r="AH49" s="5" t="s">
        <v>16</v>
      </c>
      <c r="AI49" s="5">
        <v>6</v>
      </c>
      <c r="AJ49" s="11">
        <v>1043</v>
      </c>
      <c r="AK49" s="5" t="s">
        <v>16</v>
      </c>
      <c r="AL49" s="5">
        <v>5</v>
      </c>
      <c r="AM49" s="5" t="s">
        <v>16</v>
      </c>
      <c r="AN49" s="55">
        <v>1054</v>
      </c>
      <c r="AO49" s="13">
        <v>0.01</v>
      </c>
      <c r="AP49" s="13">
        <v>0.98899999999999999</v>
      </c>
      <c r="AQ49" s="13">
        <v>1E-3</v>
      </c>
      <c r="AR49" s="21">
        <f>Tabela46[[#This Row],[Total of samples (N)]]*Tabela46[[#This Row],[Hispanic or Latino (%)]]</f>
        <v>10.540000000000001</v>
      </c>
      <c r="AS49" s="21">
        <f>Tabela46[[#This Row],[Total of samples (N)]]*Tabela46[[#This Row],[Not Hispanic or Latino (%)]]</f>
        <v>1042.4059999999999</v>
      </c>
      <c r="AT49" s="21">
        <f>Tabela46[[#This Row],[Total of samples (N)]]*Tabela46[[#This Row],[NA (%) ]]</f>
        <v>1.054</v>
      </c>
      <c r="AU49" s="55">
        <v>1054</v>
      </c>
      <c r="AV49" s="74" t="s">
        <v>257</v>
      </c>
      <c r="AW49" s="9" t="s">
        <v>483</v>
      </c>
      <c r="AX49" s="9" t="s">
        <v>484</v>
      </c>
      <c r="AY49" s="9" t="s">
        <v>20</v>
      </c>
      <c r="AZ49" s="60">
        <v>5.0000000000000001E-3</v>
      </c>
      <c r="BA49" s="10">
        <v>9.5000000000000001E-2</v>
      </c>
      <c r="BB49" s="10">
        <v>2.7E-2</v>
      </c>
      <c r="BC49" s="10">
        <v>0.495</v>
      </c>
      <c r="BD49" s="10">
        <v>0.30599999999999999</v>
      </c>
      <c r="BE49" s="10">
        <v>6.7000000000000004E-2</v>
      </c>
      <c r="BF49" s="10">
        <v>5.0000000000000001E-3</v>
      </c>
      <c r="BG49" s="21">
        <f>Tabela46[[#This Row],[Total of samples (N)  2]]*Tabela46[[#This Row],[22 (%)]]</f>
        <v>5.2700000000000005</v>
      </c>
      <c r="BH49" s="21">
        <f>Tabela46[[#This Row],[Total of samples (N)  2]]*Tabela46[[#This Row],[23 (%)]]</f>
        <v>100.13</v>
      </c>
      <c r="BI49" s="21">
        <f>Tabela46[[#This Row],[Total of samples (N)  2]]*Tabela46[[#This Row],[24 (%)]]</f>
        <v>28.457999999999998</v>
      </c>
      <c r="BJ49" s="21">
        <f>Tabela46[[#This Row],[Total of samples (N)  2]]*Tabela46[[#This Row],[33 (%)]]</f>
        <v>521.73</v>
      </c>
      <c r="BK49" s="21">
        <f>Tabela46[[#This Row],[Total of samples (N)  2]]*Tabela46[[#This Row],[34 (%)]]</f>
        <v>322.524</v>
      </c>
      <c r="BL49" s="21">
        <f>Tabela46[[#This Row],[Total of samples (N)  2]]*Tabela46[[#This Row],[44 (%)]]</f>
        <v>70.618000000000009</v>
      </c>
      <c r="BM49" s="21">
        <f>Tabela46[[#This Row],[Total of samples (N)  2]]*Tabela46[[#This Row],[NA (%)]]</f>
        <v>5.2700000000000005</v>
      </c>
      <c r="BN49" s="55">
        <v>1054</v>
      </c>
      <c r="BO49" s="68" t="s">
        <v>20</v>
      </c>
    </row>
    <row r="50" spans="1:67" x14ac:dyDescent="0.25">
      <c r="A50" s="5" t="s">
        <v>305</v>
      </c>
      <c r="B50" s="1" t="s">
        <v>212</v>
      </c>
      <c r="C50" s="73" t="s">
        <v>20</v>
      </c>
      <c r="D50" s="5" t="s">
        <v>20</v>
      </c>
      <c r="E50" s="58">
        <v>0.28999999999999998</v>
      </c>
      <c r="F50" s="13">
        <v>0.373</v>
      </c>
      <c r="G50" s="13" t="s">
        <v>16</v>
      </c>
      <c r="H50" s="13">
        <v>0.33700000000000002</v>
      </c>
      <c r="I50" s="13" t="s">
        <v>16</v>
      </c>
      <c r="J50" s="13" t="s">
        <v>16</v>
      </c>
      <c r="K50" s="13" t="s">
        <v>16</v>
      </c>
      <c r="L50" s="13" t="s">
        <v>16</v>
      </c>
      <c r="M50" s="13" t="s">
        <v>16</v>
      </c>
      <c r="N50" s="13" t="s">
        <v>16</v>
      </c>
      <c r="O50" s="13" t="s">
        <v>16</v>
      </c>
      <c r="P50" s="13" t="s">
        <v>16</v>
      </c>
      <c r="Q50" s="13" t="s">
        <v>16</v>
      </c>
      <c r="R50" s="13" t="s">
        <v>16</v>
      </c>
      <c r="S50" s="13" t="s">
        <v>16</v>
      </c>
      <c r="T50" s="13" t="s">
        <v>16</v>
      </c>
      <c r="U50" s="13" t="s">
        <v>16</v>
      </c>
      <c r="V50" s="13" t="s">
        <v>16</v>
      </c>
      <c r="W50" s="13" t="s">
        <v>16</v>
      </c>
      <c r="X50" s="13" t="s">
        <v>16</v>
      </c>
      <c r="Y50" s="13" t="s">
        <v>16</v>
      </c>
      <c r="Z50" s="13" t="s">
        <v>16</v>
      </c>
      <c r="AA50" s="11">
        <v>1222</v>
      </c>
      <c r="AB50" s="58">
        <v>0.58399999999999996</v>
      </c>
      <c r="AC50" s="13">
        <v>0.41499999999999998</v>
      </c>
      <c r="AD50" s="21">
        <f>Tabela46[[#This Row],[Total of samples (N)  ]]*Tabela46[[#This Row],[Females (%)]]</f>
        <v>713.64799999999991</v>
      </c>
      <c r="AE50" s="21">
        <f>Tabela46[[#This Row],[Total of samples (N)  ]]*AC50</f>
        <v>507.13</v>
      </c>
      <c r="AF50" s="55">
        <v>1222</v>
      </c>
      <c r="AG50" s="5" t="s">
        <v>16</v>
      </c>
      <c r="AH50" s="5" t="s">
        <v>16</v>
      </c>
      <c r="AI50" s="5" t="s">
        <v>16</v>
      </c>
      <c r="AJ50" s="11">
        <v>1221</v>
      </c>
      <c r="AK50" s="5" t="s">
        <v>16</v>
      </c>
      <c r="AL50" s="5" t="s">
        <v>16</v>
      </c>
      <c r="AM50" s="5">
        <v>1</v>
      </c>
      <c r="AN50" s="55">
        <v>1222</v>
      </c>
      <c r="AO50" s="13" t="s">
        <v>16</v>
      </c>
      <c r="AP50" s="13">
        <v>0.998</v>
      </c>
      <c r="AQ50" s="13">
        <v>2E-3</v>
      </c>
      <c r="AR50" s="21" t="s">
        <v>16</v>
      </c>
      <c r="AS50" s="21">
        <f>Tabela46[[#This Row],[Total of samples (N)]]*Tabela46[[#This Row],[Not Hispanic or Latino (%)]]</f>
        <v>1219.556</v>
      </c>
      <c r="AT50" s="21">
        <f>Tabela46[[#This Row],[Total of samples (N)]]*Tabela46[[#This Row],[NA (%) ]]</f>
        <v>2.444</v>
      </c>
      <c r="AU50" s="55">
        <v>1222</v>
      </c>
      <c r="AV50" s="74" t="s">
        <v>257</v>
      </c>
      <c r="AW50" s="9" t="s">
        <v>483</v>
      </c>
      <c r="AX50" s="9" t="s">
        <v>484</v>
      </c>
      <c r="AY50" s="9" t="s">
        <v>20</v>
      </c>
      <c r="AZ50" s="60">
        <v>3.0000000000000001E-3</v>
      </c>
      <c r="BA50" s="10">
        <v>0.104</v>
      </c>
      <c r="BB50" s="10">
        <v>2.9000000000000001E-2</v>
      </c>
      <c r="BC50" s="10">
        <v>0.51300000000000001</v>
      </c>
      <c r="BD50" s="10">
        <v>0.29299999999999998</v>
      </c>
      <c r="BE50" s="10">
        <v>5.3999999999999999E-2</v>
      </c>
      <c r="BF50" s="10">
        <v>3.0000000000000001E-3</v>
      </c>
      <c r="BG50" s="21">
        <f>Tabela46[[#This Row],[Total of samples (N)  2]]*Tabela46[[#This Row],[22 (%)]]</f>
        <v>3.6659999999999999</v>
      </c>
      <c r="BH50" s="21">
        <f>Tabela46[[#This Row],[Total of samples (N)  2]]*Tabela46[[#This Row],[23 (%)]]</f>
        <v>127.08799999999999</v>
      </c>
      <c r="BI50" s="21">
        <f>Tabela46[[#This Row],[Total of samples (N)  2]]*Tabela46[[#This Row],[24 (%)]]</f>
        <v>35.438000000000002</v>
      </c>
      <c r="BJ50" s="21">
        <f>Tabela46[[#This Row],[Total of samples (N)  2]]*Tabela46[[#This Row],[33 (%)]]</f>
        <v>626.88599999999997</v>
      </c>
      <c r="BK50" s="21">
        <f>Tabela46[[#This Row],[Total of samples (N)  2]]*Tabela46[[#This Row],[34 (%)]]</f>
        <v>358.04599999999999</v>
      </c>
      <c r="BL50" s="21">
        <f>Tabela46[[#This Row],[Total of samples (N)  2]]*Tabela46[[#This Row],[44 (%)]]</f>
        <v>65.988</v>
      </c>
      <c r="BM50" s="21">
        <f>Tabela46[[#This Row],[Total of samples (N)  2]]*Tabela46[[#This Row],[NA (%)]]</f>
        <v>3.6659999999999999</v>
      </c>
      <c r="BN50" s="55">
        <v>1222</v>
      </c>
      <c r="BO50" s="68" t="s">
        <v>20</v>
      </c>
    </row>
    <row r="51" spans="1:67" x14ac:dyDescent="0.25">
      <c r="A51" s="5" t="s">
        <v>306</v>
      </c>
      <c r="B51" s="1" t="s">
        <v>214</v>
      </c>
      <c r="C51" s="73" t="s">
        <v>20</v>
      </c>
      <c r="D51" s="5" t="s">
        <v>20</v>
      </c>
      <c r="E51" s="58">
        <v>0.373</v>
      </c>
      <c r="F51" s="13">
        <v>0.2</v>
      </c>
      <c r="G51" s="13" t="s">
        <v>16</v>
      </c>
      <c r="H51" s="13">
        <v>0.42699999999999999</v>
      </c>
      <c r="I51" s="13" t="s">
        <v>16</v>
      </c>
      <c r="J51" s="13" t="s">
        <v>16</v>
      </c>
      <c r="K51" s="13" t="s">
        <v>16</v>
      </c>
      <c r="L51" s="13" t="s">
        <v>16</v>
      </c>
      <c r="M51" s="13" t="s">
        <v>16</v>
      </c>
      <c r="N51" s="13" t="s">
        <v>16</v>
      </c>
      <c r="O51" s="13" t="s">
        <v>16</v>
      </c>
      <c r="P51" s="13" t="s">
        <v>16</v>
      </c>
      <c r="Q51" s="13" t="s">
        <v>16</v>
      </c>
      <c r="R51" s="13" t="s">
        <v>16</v>
      </c>
      <c r="S51" s="13" t="s">
        <v>16</v>
      </c>
      <c r="T51" s="13" t="s">
        <v>16</v>
      </c>
      <c r="U51" s="13" t="s">
        <v>16</v>
      </c>
      <c r="V51" s="13" t="s">
        <v>16</v>
      </c>
      <c r="W51" s="13" t="s">
        <v>16</v>
      </c>
      <c r="X51" s="13" t="s">
        <v>16</v>
      </c>
      <c r="Y51" s="13" t="s">
        <v>16</v>
      </c>
      <c r="Z51" s="13" t="s">
        <v>16</v>
      </c>
      <c r="AA51" s="11">
        <v>1330</v>
      </c>
      <c r="AB51" s="58">
        <v>0.56899999999999995</v>
      </c>
      <c r="AC51" s="13">
        <v>0.43099999999999999</v>
      </c>
      <c r="AD51" s="21">
        <f>Tabela46[[#This Row],[Total of samples (N)  ]]*Tabela46[[#This Row],[Females (%)]]</f>
        <v>756.77</v>
      </c>
      <c r="AE51" s="21">
        <f>Tabela46[[#This Row],[Total of samples (N)  ]]*AC51</f>
        <v>573.23</v>
      </c>
      <c r="AF51" s="55">
        <v>1330</v>
      </c>
      <c r="AG51" s="5" t="s">
        <v>16</v>
      </c>
      <c r="AH51" s="5" t="s">
        <v>16</v>
      </c>
      <c r="AI51" s="5" t="s">
        <v>16</v>
      </c>
      <c r="AJ51" s="11">
        <v>1323</v>
      </c>
      <c r="AK51" s="5" t="s">
        <v>16</v>
      </c>
      <c r="AL51" s="5" t="s">
        <v>16</v>
      </c>
      <c r="AM51" s="5">
        <v>7</v>
      </c>
      <c r="AN51" s="55">
        <v>1330</v>
      </c>
      <c r="AO51" s="13" t="s">
        <v>16</v>
      </c>
      <c r="AP51" s="13">
        <v>0.995</v>
      </c>
      <c r="AQ51" s="13">
        <v>5.0000000000000001E-3</v>
      </c>
      <c r="AR51" s="21" t="s">
        <v>16</v>
      </c>
      <c r="AS51" s="21">
        <f>Tabela46[[#This Row],[Total of samples (N)]]*Tabela46[[#This Row],[Not Hispanic or Latino (%)]]</f>
        <v>1323.35</v>
      </c>
      <c r="AT51" s="21">
        <f>Tabela46[[#This Row],[Total of samples (N)]]*Tabela46[[#This Row],[NA (%) ]]</f>
        <v>6.65</v>
      </c>
      <c r="AU51" s="55">
        <v>1330</v>
      </c>
      <c r="AV51" s="74" t="s">
        <v>257</v>
      </c>
      <c r="AW51" s="9" t="s">
        <v>483</v>
      </c>
      <c r="AX51" s="9" t="s">
        <v>484</v>
      </c>
      <c r="AY51" s="9" t="s">
        <v>20</v>
      </c>
      <c r="AZ51" s="60">
        <v>2E-3</v>
      </c>
      <c r="BA51" s="10">
        <v>7.1999999999999995E-2</v>
      </c>
      <c r="BB51" s="10">
        <v>0.02</v>
      </c>
      <c r="BC51" s="10">
        <v>0.49099999999999999</v>
      </c>
      <c r="BD51" s="10">
        <v>0.33600000000000002</v>
      </c>
      <c r="BE51" s="10">
        <v>7.8E-2</v>
      </c>
      <c r="BF51" s="10">
        <v>1E-3</v>
      </c>
      <c r="BG51" s="21">
        <f>Tabela46[[#This Row],[Total of samples (N)  2]]*Tabela46[[#This Row],[22 (%)]]</f>
        <v>2.66</v>
      </c>
      <c r="BH51" s="21">
        <f>Tabela46[[#This Row],[Total of samples (N)  2]]*Tabela46[[#This Row],[23 (%)]]</f>
        <v>95.759999999999991</v>
      </c>
      <c r="BI51" s="21">
        <f>Tabela46[[#This Row],[Total of samples (N)  2]]*Tabela46[[#This Row],[24 (%)]]</f>
        <v>26.6</v>
      </c>
      <c r="BJ51" s="21">
        <f>Tabela46[[#This Row],[Total of samples (N)  2]]*Tabela46[[#This Row],[33 (%)]]</f>
        <v>653.03</v>
      </c>
      <c r="BK51" s="21">
        <f>Tabela46[[#This Row],[Total of samples (N)  2]]*Tabela46[[#This Row],[34 (%)]]</f>
        <v>446.88000000000005</v>
      </c>
      <c r="BL51" s="21">
        <f>Tabela46[[#This Row],[Total of samples (N)  2]]*Tabela46[[#This Row],[44 (%)]]</f>
        <v>103.74</v>
      </c>
      <c r="BM51" s="21">
        <f>Tabela46[[#This Row],[Total of samples (N)  2]]*Tabela46[[#This Row],[NA (%)]]</f>
        <v>1.33</v>
      </c>
      <c r="BN51" s="55">
        <v>1330</v>
      </c>
      <c r="BO51" s="68" t="s">
        <v>20</v>
      </c>
    </row>
    <row r="52" spans="1:67" x14ac:dyDescent="0.25">
      <c r="A52" s="5" t="s">
        <v>307</v>
      </c>
      <c r="B52" s="1" t="s">
        <v>216</v>
      </c>
      <c r="C52" s="73" t="s">
        <v>20</v>
      </c>
      <c r="D52" s="5" t="s">
        <v>20</v>
      </c>
      <c r="E52" s="58">
        <v>0.33500000000000002</v>
      </c>
      <c r="F52" s="13">
        <v>0.376</v>
      </c>
      <c r="G52" s="13" t="s">
        <v>16</v>
      </c>
      <c r="H52" s="13">
        <v>0.28999999999999998</v>
      </c>
      <c r="I52" s="13" t="s">
        <v>16</v>
      </c>
      <c r="J52" s="13" t="s">
        <v>16</v>
      </c>
      <c r="K52" s="13" t="s">
        <v>16</v>
      </c>
      <c r="L52" s="13" t="s">
        <v>16</v>
      </c>
      <c r="M52" s="13" t="s">
        <v>16</v>
      </c>
      <c r="N52" s="13" t="s">
        <v>16</v>
      </c>
      <c r="O52" s="13" t="s">
        <v>16</v>
      </c>
      <c r="P52" s="13" t="s">
        <v>16</v>
      </c>
      <c r="Q52" s="13" t="s">
        <v>16</v>
      </c>
      <c r="R52" s="13" t="s">
        <v>16</v>
      </c>
      <c r="S52" s="13" t="s">
        <v>16</v>
      </c>
      <c r="T52" s="13" t="s">
        <v>16</v>
      </c>
      <c r="U52" s="13" t="s">
        <v>16</v>
      </c>
      <c r="V52" s="13" t="s">
        <v>16</v>
      </c>
      <c r="W52" s="13" t="s">
        <v>16</v>
      </c>
      <c r="X52" s="13" t="s">
        <v>16</v>
      </c>
      <c r="Y52" s="13" t="s">
        <v>16</v>
      </c>
      <c r="Z52" s="13" t="s">
        <v>16</v>
      </c>
      <c r="AA52" s="11">
        <v>1467</v>
      </c>
      <c r="AB52" s="58">
        <v>0.58599999999999997</v>
      </c>
      <c r="AC52" s="13">
        <v>0.41199999999999998</v>
      </c>
      <c r="AD52" s="21">
        <f>Tabela46[[#This Row],[Total of samples (N)  ]]*Tabela46[[#This Row],[Females (%)]]</f>
        <v>859.66199999999992</v>
      </c>
      <c r="AE52" s="21">
        <f>Tabela46[[#This Row],[Total of samples (N)  ]]*AC52</f>
        <v>604.404</v>
      </c>
      <c r="AF52" s="55">
        <v>1467</v>
      </c>
      <c r="AG52" s="5" t="s">
        <v>16</v>
      </c>
      <c r="AH52" s="5" t="s">
        <v>16</v>
      </c>
      <c r="AI52" s="5" t="s">
        <v>16</v>
      </c>
      <c r="AJ52" s="11">
        <v>1465</v>
      </c>
      <c r="AK52" s="5" t="s">
        <v>16</v>
      </c>
      <c r="AL52" s="5" t="s">
        <v>16</v>
      </c>
      <c r="AM52" s="5">
        <v>2</v>
      </c>
      <c r="AN52" s="55">
        <v>1467</v>
      </c>
      <c r="AO52" s="13" t="s">
        <v>16</v>
      </c>
      <c r="AP52" s="13">
        <v>0.999</v>
      </c>
      <c r="AQ52" s="13">
        <v>1E-3</v>
      </c>
      <c r="AR52" s="21" t="s">
        <v>16</v>
      </c>
      <c r="AS52" s="21">
        <f>Tabela46[[#This Row],[Total of samples (N)]]*Tabela46[[#This Row],[Not Hispanic or Latino (%)]]</f>
        <v>1465.5329999999999</v>
      </c>
      <c r="AT52" s="21">
        <f>Tabela46[[#This Row],[Total of samples (N)]]*Tabela46[[#This Row],[NA (%) ]]</f>
        <v>1.4670000000000001</v>
      </c>
      <c r="AU52" s="55">
        <v>1467</v>
      </c>
      <c r="AV52" s="74" t="s">
        <v>257</v>
      </c>
      <c r="AW52" s="9" t="s">
        <v>486</v>
      </c>
      <c r="AX52" s="9" t="s">
        <v>485</v>
      </c>
      <c r="AY52" s="9" t="s">
        <v>20</v>
      </c>
      <c r="AZ52" s="60">
        <v>3.0000000000000001E-3</v>
      </c>
      <c r="BA52" s="10">
        <v>7.5999999999999998E-2</v>
      </c>
      <c r="BB52" s="10">
        <v>2.8000000000000001E-2</v>
      </c>
      <c r="BC52" s="10">
        <v>0.49299999999999999</v>
      </c>
      <c r="BD52" s="10">
        <v>0.33300000000000002</v>
      </c>
      <c r="BE52" s="10">
        <v>6.7000000000000004E-2</v>
      </c>
      <c r="BF52" s="10" t="s">
        <v>16</v>
      </c>
      <c r="BG52" s="21">
        <f>Tabela46[[#This Row],[Total of samples (N)  2]]*Tabela46[[#This Row],[22 (%)]]</f>
        <v>4.4009999999999998</v>
      </c>
      <c r="BH52" s="21">
        <f>Tabela46[[#This Row],[Total of samples (N)  2]]*Tabela46[[#This Row],[23 (%)]]</f>
        <v>111.49199999999999</v>
      </c>
      <c r="BI52" s="21">
        <f>Tabela46[[#This Row],[Total of samples (N)  2]]*Tabela46[[#This Row],[24 (%)]]</f>
        <v>41.076000000000001</v>
      </c>
      <c r="BJ52" s="21">
        <f>Tabela46[[#This Row],[Total of samples (N)  2]]*Tabela46[[#This Row],[33 (%)]]</f>
        <v>723.23099999999999</v>
      </c>
      <c r="BK52" s="21">
        <f>Tabela46[[#This Row],[Total of samples (N)  2]]*Tabela46[[#This Row],[34 (%)]]</f>
        <v>488.51100000000002</v>
      </c>
      <c r="BL52" s="21">
        <f>Tabela46[[#This Row],[Total of samples (N)  2]]*Tabela46[[#This Row],[44 (%)]]</f>
        <v>98.289000000000001</v>
      </c>
      <c r="BM52" s="21" t="s">
        <v>16</v>
      </c>
      <c r="BN52" s="55">
        <v>1467</v>
      </c>
      <c r="BO52" s="68" t="s">
        <v>40</v>
      </c>
    </row>
    <row r="53" spans="1:67" x14ac:dyDescent="0.25">
      <c r="A53" s="5" t="s">
        <v>308</v>
      </c>
      <c r="B53" s="1" t="s">
        <v>395</v>
      </c>
      <c r="C53" s="73" t="s">
        <v>20</v>
      </c>
      <c r="D53" s="5" t="s">
        <v>20</v>
      </c>
      <c r="E53" s="58">
        <v>0.35599999999999998</v>
      </c>
      <c r="F53" s="13">
        <v>0.40600000000000003</v>
      </c>
      <c r="G53" s="13" t="s">
        <v>16</v>
      </c>
      <c r="H53" s="13">
        <v>0.23799999999999999</v>
      </c>
      <c r="I53" s="13" t="s">
        <v>16</v>
      </c>
      <c r="J53" s="13" t="s">
        <v>16</v>
      </c>
      <c r="K53" s="13" t="s">
        <v>16</v>
      </c>
      <c r="L53" s="13" t="s">
        <v>16</v>
      </c>
      <c r="M53" s="13" t="s">
        <v>16</v>
      </c>
      <c r="N53" s="13" t="s">
        <v>16</v>
      </c>
      <c r="O53" s="13" t="s">
        <v>16</v>
      </c>
      <c r="P53" s="13" t="s">
        <v>16</v>
      </c>
      <c r="Q53" s="13" t="s">
        <v>16</v>
      </c>
      <c r="R53" s="13" t="s">
        <v>16</v>
      </c>
      <c r="S53" s="13" t="s">
        <v>16</v>
      </c>
      <c r="T53" s="13" t="s">
        <v>16</v>
      </c>
      <c r="U53" s="13" t="s">
        <v>16</v>
      </c>
      <c r="V53" s="13" t="s">
        <v>16</v>
      </c>
      <c r="W53" s="13" t="s">
        <v>16</v>
      </c>
      <c r="X53" s="13" t="s">
        <v>16</v>
      </c>
      <c r="Y53" s="13" t="s">
        <v>16</v>
      </c>
      <c r="Z53" s="13" t="s">
        <v>16</v>
      </c>
      <c r="AA53" s="11">
        <v>2359</v>
      </c>
      <c r="AB53" s="58">
        <v>0.64100000000000001</v>
      </c>
      <c r="AC53" s="13">
        <v>0.35899999999999999</v>
      </c>
      <c r="AD53" s="21">
        <f>Tabela46[[#This Row],[Total of samples (N)  ]]*Tabela46[[#This Row],[Females (%)]]</f>
        <v>1512.1190000000001</v>
      </c>
      <c r="AE53" s="21">
        <f>Tabela46[[#This Row],[Total of samples (N)  ]]*AC53</f>
        <v>846.88099999999997</v>
      </c>
      <c r="AF53" s="55">
        <v>2359</v>
      </c>
      <c r="AG53" s="5" t="s">
        <v>16</v>
      </c>
      <c r="AH53" s="5" t="s">
        <v>16</v>
      </c>
      <c r="AI53" s="5">
        <v>812</v>
      </c>
      <c r="AJ53" s="11">
        <v>1430</v>
      </c>
      <c r="AK53" s="5" t="s">
        <v>16</v>
      </c>
      <c r="AL53" s="5">
        <v>116</v>
      </c>
      <c r="AM53" s="5">
        <v>1</v>
      </c>
      <c r="AN53" s="55">
        <v>2359</v>
      </c>
      <c r="AO53" s="13">
        <v>0.189</v>
      </c>
      <c r="AP53" s="13">
        <v>0.81100000000000005</v>
      </c>
      <c r="AQ53" s="13" t="s">
        <v>456</v>
      </c>
      <c r="AR53" s="21">
        <f>Tabela46[[#This Row],[Total of samples (N)]]*Tabela46[[#This Row],[Hispanic or Latino (%)]]</f>
        <v>445.851</v>
      </c>
      <c r="AS53" s="21">
        <f>Tabela46[[#This Row],[Total of samples (N)]]*Tabela46[[#This Row],[Not Hispanic or Latino (%)]]</f>
        <v>1913.1490000000001</v>
      </c>
      <c r="AT53" s="21" t="s">
        <v>16</v>
      </c>
      <c r="AU53" s="55">
        <v>2359</v>
      </c>
      <c r="AV53" s="74" t="s">
        <v>257</v>
      </c>
      <c r="AW53" s="9" t="s">
        <v>486</v>
      </c>
      <c r="AX53" s="9" t="s">
        <v>487</v>
      </c>
      <c r="AY53" s="9" t="s">
        <v>20</v>
      </c>
      <c r="AZ53" s="60">
        <v>4.0000000000000001E-3</v>
      </c>
      <c r="BA53" s="10">
        <v>9.1999999999999998E-2</v>
      </c>
      <c r="BB53" s="10">
        <v>4.1000000000000002E-2</v>
      </c>
      <c r="BC53" s="10">
        <v>0.46500000000000002</v>
      </c>
      <c r="BD53" s="10">
        <v>0.32600000000000001</v>
      </c>
      <c r="BE53" s="10">
        <v>7.0999999999999994E-2</v>
      </c>
      <c r="BF53" s="10">
        <v>1E-3</v>
      </c>
      <c r="BG53" s="21">
        <f>Tabela46[[#This Row],[Total of samples (N)  2]]*Tabela46[[#This Row],[22 (%)]]</f>
        <v>9.4359999999999999</v>
      </c>
      <c r="BH53" s="21">
        <f>Tabela46[[#This Row],[Total of samples (N)  2]]*Tabela46[[#This Row],[23 (%)]]</f>
        <v>217.02799999999999</v>
      </c>
      <c r="BI53" s="21">
        <f>Tabela46[[#This Row],[Total of samples (N)  2]]*Tabela46[[#This Row],[24 (%)]]</f>
        <v>96.719000000000008</v>
      </c>
      <c r="BJ53" s="21">
        <f>Tabela46[[#This Row],[Total of samples (N)  2]]*Tabela46[[#This Row],[33 (%)]]</f>
        <v>1096.9349999999999</v>
      </c>
      <c r="BK53" s="21">
        <f>Tabela46[[#This Row],[Total of samples (N)  2]]*Tabela46[[#This Row],[34 (%)]]</f>
        <v>769.03399999999999</v>
      </c>
      <c r="BL53" s="21">
        <f>Tabela46[[#This Row],[Total of samples (N)  2]]*Tabela46[[#This Row],[44 (%)]]</f>
        <v>167.48899999999998</v>
      </c>
      <c r="BM53" s="21">
        <f>Tabela46[[#This Row],[Total of samples (N)  2]]*Tabela46[[#This Row],[NA (%)]]</f>
        <v>2.359</v>
      </c>
      <c r="BN53" s="55">
        <v>2359</v>
      </c>
      <c r="BO53" s="68" t="s">
        <v>40</v>
      </c>
    </row>
    <row r="54" spans="1:67" x14ac:dyDescent="0.25">
      <c r="A54" s="5" t="s">
        <v>309</v>
      </c>
      <c r="B54" s="1" t="s">
        <v>396</v>
      </c>
      <c r="C54" s="73" t="s">
        <v>20</v>
      </c>
      <c r="D54" s="5" t="s">
        <v>20</v>
      </c>
      <c r="E54" s="58">
        <v>0.29699999999999999</v>
      </c>
      <c r="F54" s="13">
        <v>0.40500000000000003</v>
      </c>
      <c r="G54" s="13" t="s">
        <v>16</v>
      </c>
      <c r="H54" s="13">
        <v>0.29799999999999999</v>
      </c>
      <c r="I54" s="13" t="s">
        <v>16</v>
      </c>
      <c r="J54" s="13" t="s">
        <v>16</v>
      </c>
      <c r="K54" s="13" t="s">
        <v>16</v>
      </c>
      <c r="L54" s="13" t="s">
        <v>16</v>
      </c>
      <c r="M54" s="13" t="s">
        <v>16</v>
      </c>
      <c r="N54" s="13" t="s">
        <v>16</v>
      </c>
      <c r="O54" s="13" t="s">
        <v>16</v>
      </c>
      <c r="P54" s="13" t="s">
        <v>16</v>
      </c>
      <c r="Q54" s="13" t="s">
        <v>16</v>
      </c>
      <c r="R54" s="13" t="s">
        <v>16</v>
      </c>
      <c r="S54" s="13" t="s">
        <v>16</v>
      </c>
      <c r="T54" s="13" t="s">
        <v>16</v>
      </c>
      <c r="U54" s="13" t="s">
        <v>16</v>
      </c>
      <c r="V54" s="13" t="s">
        <v>16</v>
      </c>
      <c r="W54" s="13" t="s">
        <v>16</v>
      </c>
      <c r="X54" s="13" t="s">
        <v>16</v>
      </c>
      <c r="Y54" s="13" t="s">
        <v>16</v>
      </c>
      <c r="Z54" s="13" t="s">
        <v>16</v>
      </c>
      <c r="AA54" s="11">
        <v>2084</v>
      </c>
      <c r="AB54" s="58">
        <v>0.57999999999999996</v>
      </c>
      <c r="AC54" s="13">
        <v>0.42</v>
      </c>
      <c r="AD54" s="21">
        <f>Tabela46[[#This Row],[Total of samples (N)  ]]*Tabela46[[#This Row],[Females (%)]]</f>
        <v>1208.72</v>
      </c>
      <c r="AE54" s="21">
        <f>Tabela46[[#This Row],[Total of samples (N)  ]]*AC54</f>
        <v>875.28</v>
      </c>
      <c r="AF54" s="55">
        <v>2084</v>
      </c>
      <c r="AG54" s="5">
        <v>1</v>
      </c>
      <c r="AH54" s="5" t="s">
        <v>16</v>
      </c>
      <c r="AI54" s="5">
        <v>387</v>
      </c>
      <c r="AJ54" s="11">
        <v>1694</v>
      </c>
      <c r="AK54" s="5" t="s">
        <v>16</v>
      </c>
      <c r="AL54" s="5">
        <v>2</v>
      </c>
      <c r="AM54" s="5" t="s">
        <v>16</v>
      </c>
      <c r="AN54" s="55">
        <v>2084</v>
      </c>
      <c r="AO54" s="13">
        <v>7.0000000000000001E-3</v>
      </c>
      <c r="AP54" s="13">
        <v>0.99299999999999999</v>
      </c>
      <c r="AQ54" s="13" t="s">
        <v>16</v>
      </c>
      <c r="AR54" s="21">
        <f>Tabela46[[#This Row],[Total of samples (N)]]*Tabela46[[#This Row],[Hispanic or Latino (%)]]</f>
        <v>14.588000000000001</v>
      </c>
      <c r="AS54" s="21">
        <f>Tabela46[[#This Row],[Total of samples (N)]]*Tabela46[[#This Row],[Not Hispanic or Latino (%)]]</f>
        <v>2069.4119999999998</v>
      </c>
      <c r="AT54" s="21" t="s">
        <v>16</v>
      </c>
      <c r="AU54" s="55">
        <v>2084</v>
      </c>
      <c r="AV54" s="74" t="s">
        <v>257</v>
      </c>
      <c r="AW54" s="9" t="s">
        <v>488</v>
      </c>
      <c r="AX54" s="9" t="s">
        <v>489</v>
      </c>
      <c r="AY54" s="9" t="s">
        <v>20</v>
      </c>
      <c r="AZ54" s="60">
        <v>4.0000000000000001E-3</v>
      </c>
      <c r="BA54" s="10">
        <v>9.0999999999999998E-2</v>
      </c>
      <c r="BB54" s="10">
        <v>2.7E-2</v>
      </c>
      <c r="BC54" s="10">
        <v>0.46700000000000003</v>
      </c>
      <c r="BD54" s="10">
        <v>0.33500000000000002</v>
      </c>
      <c r="BE54" s="10">
        <v>7.4999999999999997E-2</v>
      </c>
      <c r="BF54" s="10">
        <v>0</v>
      </c>
      <c r="BG54" s="21">
        <f>Tabela46[[#This Row],[Total of samples (N)  2]]*Tabela46[[#This Row],[22 (%)]]</f>
        <v>8.3360000000000003</v>
      </c>
      <c r="BH54" s="21">
        <f>Tabela46[[#This Row],[Total of samples (N)  2]]*Tabela46[[#This Row],[23 (%)]]</f>
        <v>189.64400000000001</v>
      </c>
      <c r="BI54" s="21">
        <f>Tabela46[[#This Row],[Total of samples (N)  2]]*Tabela46[[#This Row],[24 (%)]]</f>
        <v>56.268000000000001</v>
      </c>
      <c r="BJ54" s="21">
        <f>Tabela46[[#This Row],[Total of samples (N)  2]]*Tabela46[[#This Row],[33 (%)]]</f>
        <v>973.22800000000007</v>
      </c>
      <c r="BK54" s="21">
        <f>Tabela46[[#This Row],[Total of samples (N)  2]]*Tabela46[[#This Row],[34 (%)]]</f>
        <v>698.14</v>
      </c>
      <c r="BL54" s="21">
        <f>Tabela46[[#This Row],[Total of samples (N)  2]]*Tabela46[[#This Row],[44 (%)]]</f>
        <v>156.29999999999998</v>
      </c>
      <c r="BM54" s="21">
        <f>Tabela46[[#This Row],[Total of samples (N)  2]]*Tabela46[[#This Row],[NA (%)]]</f>
        <v>0</v>
      </c>
      <c r="BN54" s="55">
        <v>2084</v>
      </c>
      <c r="BO54" s="68" t="s">
        <v>20</v>
      </c>
    </row>
    <row r="55" spans="1:67" x14ac:dyDescent="0.25">
      <c r="A55" s="5" t="s">
        <v>310</v>
      </c>
      <c r="B55" s="1" t="s">
        <v>397</v>
      </c>
      <c r="C55" s="73" t="s">
        <v>20</v>
      </c>
      <c r="D55" s="5" t="s">
        <v>20</v>
      </c>
      <c r="E55" s="58">
        <v>0.251</v>
      </c>
      <c r="F55" s="13">
        <v>0.153</v>
      </c>
      <c r="G55" s="13" t="s">
        <v>16</v>
      </c>
      <c r="H55" s="13">
        <v>0.59599999999999997</v>
      </c>
      <c r="I55" s="13" t="s">
        <v>16</v>
      </c>
      <c r="J55" s="13" t="s">
        <v>16</v>
      </c>
      <c r="K55" s="13" t="s">
        <v>16</v>
      </c>
      <c r="L55" s="13" t="s">
        <v>16</v>
      </c>
      <c r="M55" s="13" t="s">
        <v>16</v>
      </c>
      <c r="N55" s="13" t="s">
        <v>16</v>
      </c>
      <c r="O55" s="13" t="s">
        <v>16</v>
      </c>
      <c r="P55" s="13" t="s">
        <v>16</v>
      </c>
      <c r="Q55" s="13" t="s">
        <v>16</v>
      </c>
      <c r="R55" s="13" t="s">
        <v>16</v>
      </c>
      <c r="S55" s="13" t="s">
        <v>16</v>
      </c>
      <c r="T55" s="13" t="s">
        <v>16</v>
      </c>
      <c r="U55" s="13" t="s">
        <v>16</v>
      </c>
      <c r="V55" s="13" t="s">
        <v>16</v>
      </c>
      <c r="W55" s="13" t="s">
        <v>16</v>
      </c>
      <c r="X55" s="13" t="s">
        <v>16</v>
      </c>
      <c r="Y55" s="13" t="s">
        <v>16</v>
      </c>
      <c r="Z55" s="13" t="s">
        <v>16</v>
      </c>
      <c r="AA55" s="11">
        <v>3744</v>
      </c>
      <c r="AB55" s="58">
        <v>0.51700000000000002</v>
      </c>
      <c r="AC55" s="13">
        <v>0.48299999999999998</v>
      </c>
      <c r="AD55" s="21">
        <f>Tabela46[[#This Row],[Total of samples (N)  ]]*Tabela46[[#This Row],[Females (%)]]</f>
        <v>1935.6480000000001</v>
      </c>
      <c r="AE55" s="21">
        <f>Tabela46[[#This Row],[Total of samples (N)  ]]*AC55</f>
        <v>1808.3519999999999</v>
      </c>
      <c r="AF55" s="55">
        <v>3744</v>
      </c>
      <c r="AG55" s="5">
        <v>9</v>
      </c>
      <c r="AH55" s="5">
        <v>310</v>
      </c>
      <c r="AI55" s="5">
        <v>321</v>
      </c>
      <c r="AJ55" s="11">
        <v>3049</v>
      </c>
      <c r="AK55" s="5" t="s">
        <v>16</v>
      </c>
      <c r="AL55" s="5">
        <v>55</v>
      </c>
      <c r="AM55" s="5" t="s">
        <v>16</v>
      </c>
      <c r="AN55" s="55">
        <v>3744</v>
      </c>
      <c r="AO55" s="13">
        <v>5.2999999999999999E-2</v>
      </c>
      <c r="AP55" s="13">
        <v>0.94399999999999995</v>
      </c>
      <c r="AQ55" s="13">
        <v>3.0000000000000001E-3</v>
      </c>
      <c r="AR55" s="21">
        <f>Tabela46[[#This Row],[Total of samples (N)]]*Tabela46[[#This Row],[Hispanic or Latino (%)]]</f>
        <v>198.43199999999999</v>
      </c>
      <c r="AS55" s="21">
        <f>Tabela46[[#This Row],[Total of samples (N)]]*Tabela46[[#This Row],[Not Hispanic or Latino (%)]]</f>
        <v>3534.3359999999998</v>
      </c>
      <c r="AT55" s="21">
        <f>Tabela46[[#This Row],[Total of samples (N)]]*Tabela46[[#This Row],[NA (%) ]]</f>
        <v>11.232000000000001</v>
      </c>
      <c r="AU55" s="55">
        <v>3744</v>
      </c>
      <c r="AV55" s="74" t="s">
        <v>257</v>
      </c>
      <c r="AW55" s="9" t="s">
        <v>488</v>
      </c>
      <c r="AX55" s="9" t="s">
        <v>489</v>
      </c>
      <c r="AY55" s="9" t="s">
        <v>20</v>
      </c>
      <c r="AZ55" s="60">
        <v>2E-3</v>
      </c>
      <c r="BA55" s="10">
        <v>8.5999999999999993E-2</v>
      </c>
      <c r="BB55" s="10">
        <v>2.1000000000000001E-2</v>
      </c>
      <c r="BC55" s="10">
        <v>0.49099999999999999</v>
      </c>
      <c r="BD55" s="10">
        <v>0.32</v>
      </c>
      <c r="BE55" s="10">
        <v>0.08</v>
      </c>
      <c r="BF55" s="10" t="s">
        <v>16</v>
      </c>
      <c r="BG55" s="21">
        <f>Tabela46[[#This Row],[Total of samples (N)  2]]*Tabela46[[#This Row],[22 (%)]]</f>
        <v>7.4880000000000004</v>
      </c>
      <c r="BH55" s="21">
        <f>Tabela46[[#This Row],[Total of samples (N)  2]]*Tabela46[[#This Row],[23 (%)]]</f>
        <v>321.98399999999998</v>
      </c>
      <c r="BI55" s="21">
        <f>Tabela46[[#This Row],[Total of samples (N)  2]]*Tabela46[[#This Row],[24 (%)]]</f>
        <v>78.624000000000009</v>
      </c>
      <c r="BJ55" s="21">
        <f>Tabela46[[#This Row],[Total of samples (N)  2]]*Tabela46[[#This Row],[33 (%)]]</f>
        <v>1838.3039999999999</v>
      </c>
      <c r="BK55" s="21">
        <f>Tabela46[[#This Row],[Total of samples (N)  2]]*Tabela46[[#This Row],[34 (%)]]</f>
        <v>1198.08</v>
      </c>
      <c r="BL55" s="21">
        <f>Tabela46[[#This Row],[Total of samples (N)  2]]*Tabela46[[#This Row],[44 (%)]]</f>
        <v>299.52</v>
      </c>
      <c r="BM55" s="21" t="s">
        <v>16</v>
      </c>
      <c r="BN55" s="55">
        <v>3744</v>
      </c>
      <c r="BO55" s="68" t="s">
        <v>20</v>
      </c>
    </row>
    <row r="56" spans="1:67" x14ac:dyDescent="0.25">
      <c r="A56" s="5" t="s">
        <v>311</v>
      </c>
      <c r="B56" s="1" t="s">
        <v>398</v>
      </c>
      <c r="C56" s="73" t="s">
        <v>20</v>
      </c>
      <c r="D56" s="5" t="s">
        <v>20</v>
      </c>
      <c r="E56" s="58">
        <v>0.26</v>
      </c>
      <c r="F56" s="13">
        <v>0.33400000000000002</v>
      </c>
      <c r="G56" s="13" t="s">
        <v>16</v>
      </c>
      <c r="H56" s="13">
        <v>0.40600000000000003</v>
      </c>
      <c r="I56" s="13" t="s">
        <v>16</v>
      </c>
      <c r="J56" s="13" t="s">
        <v>16</v>
      </c>
      <c r="K56" s="13" t="s">
        <v>16</v>
      </c>
      <c r="L56" s="13" t="s">
        <v>16</v>
      </c>
      <c r="M56" s="13" t="s">
        <v>16</v>
      </c>
      <c r="N56" s="13" t="s">
        <v>16</v>
      </c>
      <c r="O56" s="13" t="s">
        <v>16</v>
      </c>
      <c r="P56" s="13" t="s">
        <v>16</v>
      </c>
      <c r="Q56" s="13" t="s">
        <v>16</v>
      </c>
      <c r="R56" s="13" t="s">
        <v>16</v>
      </c>
      <c r="S56" s="13" t="s">
        <v>16</v>
      </c>
      <c r="T56" s="13" t="s">
        <v>16</v>
      </c>
      <c r="U56" s="13" t="s">
        <v>16</v>
      </c>
      <c r="V56" s="13" t="s">
        <v>16</v>
      </c>
      <c r="W56" s="13" t="s">
        <v>16</v>
      </c>
      <c r="X56" s="13" t="s">
        <v>16</v>
      </c>
      <c r="Y56" s="13" t="s">
        <v>16</v>
      </c>
      <c r="Z56" s="13" t="s">
        <v>16</v>
      </c>
      <c r="AA56" s="11">
        <v>2679</v>
      </c>
      <c r="AB56" s="58">
        <v>0.60599999999999998</v>
      </c>
      <c r="AC56" s="13">
        <v>0.39300000000000002</v>
      </c>
      <c r="AD56" s="21">
        <f>Tabela46[[#This Row],[Total of samples (N)  ]]*Tabela46[[#This Row],[Females (%)]]</f>
        <v>1623.4739999999999</v>
      </c>
      <c r="AE56" s="21">
        <f>Tabela46[[#This Row],[Total of samples (N)  ]]*AC56</f>
        <v>1052.847</v>
      </c>
      <c r="AF56" s="55">
        <v>2679</v>
      </c>
      <c r="AG56" s="5">
        <v>33</v>
      </c>
      <c r="AH56" s="5">
        <v>76</v>
      </c>
      <c r="AI56" s="5">
        <v>613</v>
      </c>
      <c r="AJ56" s="11">
        <v>1815</v>
      </c>
      <c r="AK56" s="5">
        <v>1</v>
      </c>
      <c r="AL56" s="5">
        <v>122</v>
      </c>
      <c r="AM56" s="5">
        <v>19</v>
      </c>
      <c r="AN56" s="55">
        <v>2679</v>
      </c>
      <c r="AO56" s="13">
        <v>0.187</v>
      </c>
      <c r="AP56" s="13">
        <v>0.79500000000000004</v>
      </c>
      <c r="AQ56" s="13">
        <v>1.7999999999999999E-2</v>
      </c>
      <c r="AR56" s="21">
        <f>Tabela46[[#This Row],[Total of samples (N)]]*Tabela46[[#This Row],[Hispanic or Latino (%)]]</f>
        <v>500.97300000000001</v>
      </c>
      <c r="AS56" s="21">
        <f>Tabela46[[#This Row],[Total of samples (N)]]*Tabela46[[#This Row],[Not Hispanic or Latino (%)]]</f>
        <v>2129.8050000000003</v>
      </c>
      <c r="AT56" s="21">
        <f>Tabela46[[#This Row],[Total of samples (N)]]*Tabela46[[#This Row],[NA (%) ]]</f>
        <v>48.221999999999994</v>
      </c>
      <c r="AU56" s="55">
        <v>2679</v>
      </c>
      <c r="AV56" s="74" t="s">
        <v>257</v>
      </c>
      <c r="AW56" s="9" t="s">
        <v>490</v>
      </c>
      <c r="AX56" s="9" t="s">
        <v>491</v>
      </c>
      <c r="AY56" s="9" t="s">
        <v>20</v>
      </c>
      <c r="AZ56" s="60">
        <v>2E-3</v>
      </c>
      <c r="BA56" s="10">
        <v>8.3000000000000004E-2</v>
      </c>
      <c r="BB56" s="10">
        <v>2.5000000000000001E-2</v>
      </c>
      <c r="BC56" s="10">
        <v>0.48299999999999998</v>
      </c>
      <c r="BD56" s="10">
        <v>0.32800000000000001</v>
      </c>
      <c r="BE56" s="10">
        <v>7.6999999999999999E-2</v>
      </c>
      <c r="BF56" s="10">
        <v>0.04</v>
      </c>
      <c r="BG56" s="21">
        <f>Tabela46[[#This Row],[Total of samples (N)  2]]*Tabela46[[#This Row],[22 (%)]]</f>
        <v>5.3580000000000005</v>
      </c>
      <c r="BH56" s="21">
        <f>Tabela46[[#This Row],[Total of samples (N)  2]]*Tabela46[[#This Row],[23 (%)]]</f>
        <v>222.357</v>
      </c>
      <c r="BI56" s="21">
        <f>Tabela46[[#This Row],[Total of samples (N)  2]]*Tabela46[[#This Row],[24 (%)]]</f>
        <v>66.975000000000009</v>
      </c>
      <c r="BJ56" s="21">
        <f>Tabela46[[#This Row],[Total of samples (N)  2]]*Tabela46[[#This Row],[33 (%)]]</f>
        <v>1293.9569999999999</v>
      </c>
      <c r="BK56" s="21">
        <f>Tabela46[[#This Row],[Total of samples (N)  2]]*Tabela46[[#This Row],[34 (%)]]</f>
        <v>878.71199999999999</v>
      </c>
      <c r="BL56" s="21">
        <f>Tabela46[[#This Row],[Total of samples (N)  2]]*Tabela46[[#This Row],[44 (%)]]</f>
        <v>206.28299999999999</v>
      </c>
      <c r="BM56" s="21">
        <f>Tabela46[[#This Row],[Total of samples (N)  2]]*Tabela46[[#This Row],[NA (%)]]</f>
        <v>107.16</v>
      </c>
      <c r="BN56" s="55">
        <v>2679</v>
      </c>
      <c r="BO56" s="68" t="s">
        <v>20</v>
      </c>
    </row>
    <row r="57" spans="1:67" x14ac:dyDescent="0.25">
      <c r="A57" s="5" t="s">
        <v>312</v>
      </c>
      <c r="B57" s="1" t="s">
        <v>399</v>
      </c>
      <c r="C57" s="73" t="s">
        <v>20</v>
      </c>
      <c r="D57" s="5" t="s">
        <v>20</v>
      </c>
      <c r="E57" s="58">
        <v>0.215</v>
      </c>
      <c r="F57" s="13">
        <v>0.29099999999999998</v>
      </c>
      <c r="G57" s="13" t="s">
        <v>16</v>
      </c>
      <c r="H57" s="13">
        <v>0.49399999999999999</v>
      </c>
      <c r="I57" s="13" t="s">
        <v>16</v>
      </c>
      <c r="J57" s="13" t="s">
        <v>16</v>
      </c>
      <c r="K57" s="13" t="s">
        <v>16</v>
      </c>
      <c r="L57" s="13" t="s">
        <v>16</v>
      </c>
      <c r="M57" s="13" t="s">
        <v>16</v>
      </c>
      <c r="N57" s="13" t="s">
        <v>16</v>
      </c>
      <c r="O57" s="13" t="s">
        <v>16</v>
      </c>
      <c r="P57" s="13" t="s">
        <v>16</v>
      </c>
      <c r="Q57" s="13" t="s">
        <v>16</v>
      </c>
      <c r="R57" s="13" t="s">
        <v>16</v>
      </c>
      <c r="S57" s="13" t="s">
        <v>16</v>
      </c>
      <c r="T57" s="13" t="s">
        <v>16</v>
      </c>
      <c r="U57" s="13" t="s">
        <v>16</v>
      </c>
      <c r="V57" s="13" t="s">
        <v>16</v>
      </c>
      <c r="W57" s="13" t="s">
        <v>16</v>
      </c>
      <c r="X57" s="13" t="s">
        <v>16</v>
      </c>
      <c r="Y57" s="13" t="s">
        <v>16</v>
      </c>
      <c r="Z57" s="13" t="s">
        <v>16</v>
      </c>
      <c r="AA57" s="11">
        <v>1320</v>
      </c>
      <c r="AB57" s="58">
        <v>0.56100000000000005</v>
      </c>
      <c r="AC57" s="13">
        <v>0.439</v>
      </c>
      <c r="AD57" s="21">
        <f>Tabela46[[#This Row],[Total of samples (N)  ]]*Tabela46[[#This Row],[Females (%)]]</f>
        <v>740.5200000000001</v>
      </c>
      <c r="AE57" s="21">
        <f>Tabela46[[#This Row],[Total of samples (N)  ]]*AC57</f>
        <v>579.48</v>
      </c>
      <c r="AF57" s="55">
        <v>1320</v>
      </c>
      <c r="AG57" s="5">
        <v>3</v>
      </c>
      <c r="AH57" s="5">
        <v>41</v>
      </c>
      <c r="AI57" s="5">
        <v>105</v>
      </c>
      <c r="AJ57" s="11">
        <v>1148</v>
      </c>
      <c r="AK57" s="5">
        <v>2</v>
      </c>
      <c r="AL57" s="5">
        <v>19</v>
      </c>
      <c r="AM57" s="5">
        <v>2</v>
      </c>
      <c r="AN57" s="55">
        <v>1320</v>
      </c>
      <c r="AO57" s="13">
        <v>8.2000000000000003E-2</v>
      </c>
      <c r="AP57" s="13">
        <v>0.91100000000000003</v>
      </c>
      <c r="AQ57" s="13">
        <v>7.0000000000000001E-3</v>
      </c>
      <c r="AR57" s="21">
        <f>Tabela46[[#This Row],[Total of samples (N)]]*Tabela46[[#This Row],[Hispanic or Latino (%)]]</f>
        <v>108.24000000000001</v>
      </c>
      <c r="AS57" s="21">
        <f>Tabela46[[#This Row],[Total of samples (N)]]*Tabela46[[#This Row],[Not Hispanic or Latino (%)]]</f>
        <v>1202.52</v>
      </c>
      <c r="AT57" s="21">
        <f>Tabela46[[#This Row],[Total of samples (N)]]*Tabela46[[#This Row],[NA (%) ]]</f>
        <v>9.24</v>
      </c>
      <c r="AU57" s="55">
        <v>1320</v>
      </c>
      <c r="AV57" s="74" t="s">
        <v>257</v>
      </c>
      <c r="AW57" s="9" t="s">
        <v>490</v>
      </c>
      <c r="AX57" s="9" t="s">
        <v>491</v>
      </c>
      <c r="AY57" s="9" t="s">
        <v>20</v>
      </c>
      <c r="AZ57" s="60">
        <v>0.01</v>
      </c>
      <c r="BA57" s="10">
        <v>9.2999999999999999E-2</v>
      </c>
      <c r="BB57" s="10">
        <v>2.1000000000000001E-2</v>
      </c>
      <c r="BC57" s="10">
        <v>0.47399999999999998</v>
      </c>
      <c r="BD57" s="10">
        <v>0.33</v>
      </c>
      <c r="BE57" s="10">
        <v>7.0000000000000007E-2</v>
      </c>
      <c r="BF57" s="10" t="s">
        <v>16</v>
      </c>
      <c r="BG57" s="21">
        <f>Tabela46[[#This Row],[Total of samples (N)  2]]*Tabela46[[#This Row],[22 (%)]]</f>
        <v>13.200000000000001</v>
      </c>
      <c r="BH57" s="21">
        <f>Tabela46[[#This Row],[Total of samples (N)  2]]*Tabela46[[#This Row],[23 (%)]]</f>
        <v>122.76</v>
      </c>
      <c r="BI57" s="21">
        <f>Tabela46[[#This Row],[Total of samples (N)  2]]*Tabela46[[#This Row],[24 (%)]]</f>
        <v>27.720000000000002</v>
      </c>
      <c r="BJ57" s="21">
        <f>Tabela46[[#This Row],[Total of samples (N)  2]]*Tabela46[[#This Row],[33 (%)]]</f>
        <v>625.67999999999995</v>
      </c>
      <c r="BK57" s="21">
        <f>Tabela46[[#This Row],[Total of samples (N)  2]]*Tabela46[[#This Row],[34 (%)]]</f>
        <v>435.6</v>
      </c>
      <c r="BL57" s="21">
        <f>Tabela46[[#This Row],[Total of samples (N)  2]]*Tabela46[[#This Row],[44 (%)]]</f>
        <v>92.4</v>
      </c>
      <c r="BM57" s="21" t="s">
        <v>16</v>
      </c>
      <c r="BN57" s="55">
        <v>1320</v>
      </c>
      <c r="BO57" s="68" t="s">
        <v>20</v>
      </c>
    </row>
    <row r="58" spans="1:67" x14ac:dyDescent="0.25">
      <c r="A58" s="5" t="s">
        <v>313</v>
      </c>
      <c r="B58" s="1" t="s">
        <v>400</v>
      </c>
      <c r="C58" s="73" t="s">
        <v>20</v>
      </c>
      <c r="D58" s="5" t="s">
        <v>20</v>
      </c>
      <c r="E58" s="58">
        <v>0.157</v>
      </c>
      <c r="F58" s="13">
        <v>0.30399999999999999</v>
      </c>
      <c r="G58" s="13" t="s">
        <v>16</v>
      </c>
      <c r="H58" s="13">
        <v>0.53900000000000003</v>
      </c>
      <c r="I58" s="13" t="s">
        <v>16</v>
      </c>
      <c r="J58" s="13" t="s">
        <v>16</v>
      </c>
      <c r="K58" s="13" t="s">
        <v>16</v>
      </c>
      <c r="L58" s="13" t="s">
        <v>16</v>
      </c>
      <c r="M58" s="13" t="s">
        <v>16</v>
      </c>
      <c r="N58" s="13" t="s">
        <v>16</v>
      </c>
      <c r="O58" s="13" t="s">
        <v>16</v>
      </c>
      <c r="P58" s="13" t="s">
        <v>16</v>
      </c>
      <c r="Q58" s="13" t="s">
        <v>16</v>
      </c>
      <c r="R58" s="13" t="s">
        <v>16</v>
      </c>
      <c r="S58" s="13" t="s">
        <v>16</v>
      </c>
      <c r="T58" s="13" t="s">
        <v>16</v>
      </c>
      <c r="U58" s="13" t="s">
        <v>16</v>
      </c>
      <c r="V58" s="13" t="s">
        <v>16</v>
      </c>
      <c r="W58" s="13" t="s">
        <v>16</v>
      </c>
      <c r="X58" s="13" t="s">
        <v>16</v>
      </c>
      <c r="Y58" s="13" t="s">
        <v>16</v>
      </c>
      <c r="Z58" s="13" t="s">
        <v>16</v>
      </c>
      <c r="AA58" s="11">
        <v>1442</v>
      </c>
      <c r="AB58" s="58">
        <v>0.56899999999999995</v>
      </c>
      <c r="AC58" s="13">
        <v>0.43099999999999999</v>
      </c>
      <c r="AD58" s="21">
        <f>Tabela46[[#This Row],[Total of samples (N)  ]]*Tabela46[[#This Row],[Females (%)]]</f>
        <v>820.49799999999993</v>
      </c>
      <c r="AE58" s="21">
        <f>Tabela46[[#This Row],[Total of samples (N)  ]]*AC58</f>
        <v>621.50199999999995</v>
      </c>
      <c r="AF58" s="55">
        <v>1442</v>
      </c>
      <c r="AG58" s="5">
        <v>1</v>
      </c>
      <c r="AH58" s="5">
        <v>47</v>
      </c>
      <c r="AI58" s="5">
        <v>188</v>
      </c>
      <c r="AJ58" s="11">
        <v>1082</v>
      </c>
      <c r="AK58" s="5" t="s">
        <v>16</v>
      </c>
      <c r="AL58" s="5">
        <v>19</v>
      </c>
      <c r="AM58" s="5">
        <v>105</v>
      </c>
      <c r="AN58" s="55">
        <v>1442</v>
      </c>
      <c r="AO58" s="13">
        <v>8.2000000000000003E-2</v>
      </c>
      <c r="AP58" s="13">
        <v>0.84199999999999997</v>
      </c>
      <c r="AQ58" s="13">
        <v>7.5999999999999998E-2</v>
      </c>
      <c r="AR58" s="21">
        <f>Tabela46[[#This Row],[Total of samples (N)]]*Tabela46[[#This Row],[Hispanic or Latino (%)]]</f>
        <v>118.244</v>
      </c>
      <c r="AS58" s="21">
        <f>Tabela46[[#This Row],[Total of samples (N)]]*Tabela46[[#This Row],[Not Hispanic or Latino (%)]]</f>
        <v>1214.164</v>
      </c>
      <c r="AT58" s="21">
        <f>Tabela46[[#This Row],[Total of samples (N)]]*Tabela46[[#This Row],[NA (%) ]]</f>
        <v>109.592</v>
      </c>
      <c r="AU58" s="55">
        <v>1442</v>
      </c>
      <c r="AV58" s="74" t="s">
        <v>257</v>
      </c>
      <c r="AW58" s="9" t="s">
        <v>493</v>
      </c>
      <c r="AX58" s="9" t="s">
        <v>492</v>
      </c>
      <c r="AY58" s="9" t="s">
        <v>20</v>
      </c>
      <c r="AZ58" s="60">
        <v>2E-3</v>
      </c>
      <c r="BA58" s="10">
        <v>9.0999999999999998E-2</v>
      </c>
      <c r="BB58" s="10">
        <v>2.1000000000000001E-2</v>
      </c>
      <c r="BC58" s="10">
        <v>0.48599999999999999</v>
      </c>
      <c r="BD58" s="10">
        <v>0.32</v>
      </c>
      <c r="BE58" s="10">
        <v>7.6999999999999999E-2</v>
      </c>
      <c r="BF58" s="10">
        <v>2E-3</v>
      </c>
      <c r="BG58" s="21">
        <f>Tabela46[[#This Row],[Total of samples (N)  2]]*Tabela46[[#This Row],[22 (%)]]</f>
        <v>2.8839999999999999</v>
      </c>
      <c r="BH58" s="21">
        <f>Tabela46[[#This Row],[Total of samples (N)  2]]*Tabela46[[#This Row],[23 (%)]]</f>
        <v>131.22200000000001</v>
      </c>
      <c r="BI58" s="21">
        <f>Tabela46[[#This Row],[Total of samples (N)  2]]*Tabela46[[#This Row],[24 (%)]]</f>
        <v>30.282000000000004</v>
      </c>
      <c r="BJ58" s="21">
        <f>Tabela46[[#This Row],[Total of samples (N)  2]]*Tabela46[[#This Row],[33 (%)]]</f>
        <v>700.81200000000001</v>
      </c>
      <c r="BK58" s="21">
        <f>Tabela46[[#This Row],[Total of samples (N)  2]]*Tabela46[[#This Row],[34 (%)]]</f>
        <v>461.44</v>
      </c>
      <c r="BL58" s="21">
        <f>Tabela46[[#This Row],[Total of samples (N)  2]]*Tabela46[[#This Row],[44 (%)]]</f>
        <v>111.03399999999999</v>
      </c>
      <c r="BM58" s="21">
        <f>Tabela46[[#This Row],[Total of samples (N)  2]]*Tabela46[[#This Row],[NA (%)]]</f>
        <v>2.8839999999999999</v>
      </c>
      <c r="BN58" s="55">
        <v>1442</v>
      </c>
      <c r="BO58" s="68" t="s">
        <v>20</v>
      </c>
    </row>
    <row r="59" spans="1:67" x14ac:dyDescent="0.25">
      <c r="A59" s="5" t="s">
        <v>314</v>
      </c>
      <c r="B59" s="1" t="s">
        <v>401</v>
      </c>
      <c r="C59" s="73" t="s">
        <v>20</v>
      </c>
      <c r="D59" s="5" t="s">
        <v>20</v>
      </c>
      <c r="E59" s="58">
        <v>4.9000000000000002E-2</v>
      </c>
      <c r="F59" s="13">
        <v>9.2999999999999999E-2</v>
      </c>
      <c r="G59" s="13" t="s">
        <v>16</v>
      </c>
      <c r="H59" s="13">
        <v>0.85799999999999998</v>
      </c>
      <c r="I59" s="13" t="s">
        <v>16</v>
      </c>
      <c r="J59" s="13" t="s">
        <v>16</v>
      </c>
      <c r="K59" s="13" t="s">
        <v>16</v>
      </c>
      <c r="L59" s="13" t="s">
        <v>16</v>
      </c>
      <c r="M59" s="13" t="s">
        <v>16</v>
      </c>
      <c r="N59" s="13" t="s">
        <v>16</v>
      </c>
      <c r="O59" s="13" t="s">
        <v>16</v>
      </c>
      <c r="P59" s="13" t="s">
        <v>16</v>
      </c>
      <c r="Q59" s="13" t="s">
        <v>16</v>
      </c>
      <c r="R59" s="13" t="s">
        <v>16</v>
      </c>
      <c r="S59" s="13" t="s">
        <v>16</v>
      </c>
      <c r="T59" s="13" t="s">
        <v>16</v>
      </c>
      <c r="U59" s="13" t="s">
        <v>16</v>
      </c>
      <c r="V59" s="13" t="s">
        <v>16</v>
      </c>
      <c r="W59" s="13" t="s">
        <v>16</v>
      </c>
      <c r="X59" s="13" t="s">
        <v>16</v>
      </c>
      <c r="Y59" s="13" t="s">
        <v>16</v>
      </c>
      <c r="Z59" s="13" t="s">
        <v>16</v>
      </c>
      <c r="AA59" s="11">
        <v>4620</v>
      </c>
      <c r="AB59" s="58">
        <v>0.496</v>
      </c>
      <c r="AC59" s="13">
        <v>0.504</v>
      </c>
      <c r="AD59" s="21">
        <f>Tabela46[[#This Row],[Total of samples (N)  ]]*Tabela46[[#This Row],[Females (%)]]</f>
        <v>2291.52</v>
      </c>
      <c r="AE59" s="21">
        <f>Tabela46[[#This Row],[Total of samples (N)  ]]*AC59</f>
        <v>2328.48</v>
      </c>
      <c r="AF59" s="55">
        <v>4620</v>
      </c>
      <c r="AG59" s="5">
        <v>5</v>
      </c>
      <c r="AH59" s="5">
        <v>139</v>
      </c>
      <c r="AI59" s="5">
        <v>480</v>
      </c>
      <c r="AJ59" s="11">
        <v>3900</v>
      </c>
      <c r="AK59" s="5">
        <v>2</v>
      </c>
      <c r="AL59" s="5">
        <v>94</v>
      </c>
      <c r="AM59" s="5" t="s">
        <v>16</v>
      </c>
      <c r="AN59" s="55">
        <v>4620</v>
      </c>
      <c r="AO59" s="13">
        <v>7.2999999999999995E-2</v>
      </c>
      <c r="AP59" s="13">
        <v>0.92300000000000004</v>
      </c>
      <c r="AQ59" s="13">
        <v>4.0000000000000001E-3</v>
      </c>
      <c r="AR59" s="21">
        <f>Tabela46[[#This Row],[Total of samples (N)]]*Tabela46[[#This Row],[Hispanic or Latino (%)]]</f>
        <v>337.26</v>
      </c>
      <c r="AS59" s="21">
        <f>Tabela46[[#This Row],[Total of samples (N)]]*Tabela46[[#This Row],[Not Hispanic or Latino (%)]]</f>
        <v>4264.26</v>
      </c>
      <c r="AT59" s="21">
        <f>Tabela46[[#This Row],[Total of samples (N)]]*Tabela46[[#This Row],[NA (%) ]]</f>
        <v>18.48</v>
      </c>
      <c r="AU59" s="55">
        <v>4620</v>
      </c>
      <c r="AV59" s="74" t="s">
        <v>257</v>
      </c>
      <c r="AW59" s="9" t="s">
        <v>494</v>
      </c>
      <c r="AX59" s="9" t="s">
        <v>491</v>
      </c>
      <c r="AY59" s="9" t="s">
        <v>20</v>
      </c>
      <c r="AZ59" s="60">
        <v>5.0000000000000001E-3</v>
      </c>
      <c r="BA59" s="10">
        <v>0.10199999999999999</v>
      </c>
      <c r="BB59" s="10">
        <v>2.1000000000000001E-2</v>
      </c>
      <c r="BC59" s="10">
        <v>0.54700000000000004</v>
      </c>
      <c r="BD59" s="10">
        <v>0.27800000000000002</v>
      </c>
      <c r="BE59" s="10">
        <v>4.9000000000000002E-2</v>
      </c>
      <c r="BF59" s="10">
        <v>0</v>
      </c>
      <c r="BG59" s="21">
        <f>Tabela46[[#This Row],[Total of samples (N)  2]]*Tabela46[[#This Row],[22 (%)]]</f>
        <v>23.1</v>
      </c>
      <c r="BH59" s="21">
        <f>Tabela46[[#This Row],[Total of samples (N)  2]]*Tabela46[[#This Row],[23 (%)]]</f>
        <v>471.23999999999995</v>
      </c>
      <c r="BI59" s="21">
        <f>Tabela46[[#This Row],[Total of samples (N)  2]]*Tabela46[[#This Row],[24 (%)]]</f>
        <v>97.02000000000001</v>
      </c>
      <c r="BJ59" s="21">
        <f>Tabela46[[#This Row],[Total of samples (N)  2]]*Tabela46[[#This Row],[33 (%)]]</f>
        <v>2527.1400000000003</v>
      </c>
      <c r="BK59" s="21">
        <f>Tabela46[[#This Row],[Total of samples (N)  2]]*Tabela46[[#This Row],[34 (%)]]</f>
        <v>1284.3600000000001</v>
      </c>
      <c r="BL59" s="21">
        <f>Tabela46[[#This Row],[Total of samples (N)  2]]*Tabela46[[#This Row],[44 (%)]]</f>
        <v>226.38</v>
      </c>
      <c r="BM59" s="21">
        <f>Tabela46[[#This Row],[Total of samples (N)  2]]*Tabela46[[#This Row],[NA (%)]]</f>
        <v>0</v>
      </c>
      <c r="BN59" s="55">
        <v>4620</v>
      </c>
      <c r="BO59" s="68" t="s">
        <v>20</v>
      </c>
    </row>
    <row r="60" spans="1:67" x14ac:dyDescent="0.25">
      <c r="A60" s="5" t="s">
        <v>315</v>
      </c>
      <c r="B60" s="1" t="s">
        <v>402</v>
      </c>
      <c r="C60" s="73" t="s">
        <v>20</v>
      </c>
      <c r="D60" s="5" t="s">
        <v>20</v>
      </c>
      <c r="E60" s="58">
        <v>1.9E-2</v>
      </c>
      <c r="F60" s="13">
        <v>0.69399999999999995</v>
      </c>
      <c r="G60" s="13" t="s">
        <v>16</v>
      </c>
      <c r="H60" s="13">
        <v>0.28699999999999998</v>
      </c>
      <c r="I60" s="13" t="s">
        <v>16</v>
      </c>
      <c r="J60" s="13" t="s">
        <v>16</v>
      </c>
      <c r="K60" s="13" t="s">
        <v>16</v>
      </c>
      <c r="L60" s="13" t="s">
        <v>16</v>
      </c>
      <c r="M60" s="13" t="s">
        <v>16</v>
      </c>
      <c r="N60" s="13" t="s">
        <v>16</v>
      </c>
      <c r="O60" s="13" t="s">
        <v>16</v>
      </c>
      <c r="P60" s="13" t="s">
        <v>16</v>
      </c>
      <c r="Q60" s="13" t="s">
        <v>16</v>
      </c>
      <c r="R60" s="13" t="s">
        <v>16</v>
      </c>
      <c r="S60" s="13" t="s">
        <v>16</v>
      </c>
      <c r="T60" s="13" t="s">
        <v>16</v>
      </c>
      <c r="U60" s="13" t="s">
        <v>16</v>
      </c>
      <c r="V60" s="13" t="s">
        <v>16</v>
      </c>
      <c r="W60" s="13" t="s">
        <v>16</v>
      </c>
      <c r="X60" s="13" t="s">
        <v>16</v>
      </c>
      <c r="Y60" s="13" t="s">
        <v>16</v>
      </c>
      <c r="Z60" s="13" t="s">
        <v>16</v>
      </c>
      <c r="AA60" s="5">
        <v>894</v>
      </c>
      <c r="AB60" s="58">
        <v>0.61599999999999999</v>
      </c>
      <c r="AC60" s="13">
        <v>0.38400000000000001</v>
      </c>
      <c r="AD60" s="21">
        <f>Tabela46[[#This Row],[Total of samples (N)  ]]*Tabela46[[#This Row],[Females (%)]]</f>
        <v>550.70399999999995</v>
      </c>
      <c r="AE60" s="21">
        <f>Tabela46[[#This Row],[Total of samples (N)  ]]*AC60</f>
        <v>343.29599999999999</v>
      </c>
      <c r="AF60" s="56">
        <v>894</v>
      </c>
      <c r="AG60" s="5">
        <v>1</v>
      </c>
      <c r="AH60" s="5">
        <v>37</v>
      </c>
      <c r="AI60" s="5">
        <v>107</v>
      </c>
      <c r="AJ60" s="5">
        <v>731</v>
      </c>
      <c r="AK60" s="5">
        <v>1</v>
      </c>
      <c r="AL60" s="5">
        <v>7</v>
      </c>
      <c r="AM60" s="5">
        <v>10</v>
      </c>
      <c r="AN60" s="56">
        <v>894</v>
      </c>
      <c r="AO60" s="13">
        <v>6.2E-2</v>
      </c>
      <c r="AP60" s="13">
        <v>0.92400000000000004</v>
      </c>
      <c r="AQ60" s="13">
        <v>1.4999999999999999E-2</v>
      </c>
      <c r="AR60" s="21">
        <f>Tabela46[[#This Row],[Total of samples (N)]]*Tabela46[[#This Row],[Hispanic or Latino (%)]]</f>
        <v>55.427999999999997</v>
      </c>
      <c r="AS60" s="21">
        <f>Tabela46[[#This Row],[Total of samples (N)]]*Tabela46[[#This Row],[Not Hispanic or Latino (%)]]</f>
        <v>826.05600000000004</v>
      </c>
      <c r="AT60" s="21">
        <f>Tabela46[[#This Row],[Total of samples (N)]]*Tabela46[[#This Row],[NA (%) ]]</f>
        <v>13.41</v>
      </c>
      <c r="AU60" s="56">
        <v>894</v>
      </c>
      <c r="AV60" s="74" t="s">
        <v>257</v>
      </c>
      <c r="AW60" s="9" t="s">
        <v>493</v>
      </c>
      <c r="AX60" s="9" t="s">
        <v>492</v>
      </c>
      <c r="AY60" s="9" t="s">
        <v>20</v>
      </c>
      <c r="AZ60" s="60">
        <v>8.9999999999999993E-3</v>
      </c>
      <c r="BA60" s="10">
        <v>8.5000000000000006E-2</v>
      </c>
      <c r="BB60" s="10">
        <v>2.3E-2</v>
      </c>
      <c r="BC60" s="10">
        <v>5.0999999999999997E-2</v>
      </c>
      <c r="BD60" s="10">
        <v>0.30399999999999999</v>
      </c>
      <c r="BE60" s="10">
        <v>6.5000000000000002E-2</v>
      </c>
      <c r="BF60" s="10" t="s">
        <v>16</v>
      </c>
      <c r="BG60" s="21">
        <f>Tabela46[[#This Row],[Total of samples (N)  2]]*Tabela46[[#This Row],[22 (%)]]</f>
        <v>8.0459999999999994</v>
      </c>
      <c r="BH60" s="21">
        <f>Tabela46[[#This Row],[Total of samples (N)  2]]*Tabela46[[#This Row],[23 (%)]]</f>
        <v>75.990000000000009</v>
      </c>
      <c r="BI60" s="21">
        <f>Tabela46[[#This Row],[Total of samples (N)  2]]*Tabela46[[#This Row],[24 (%)]]</f>
        <v>20.562000000000001</v>
      </c>
      <c r="BJ60" s="21">
        <f>Tabela46[[#This Row],[Total of samples (N)  2]]*Tabela46[[#This Row],[33 (%)]]</f>
        <v>45.593999999999994</v>
      </c>
      <c r="BK60" s="21">
        <f>Tabela46[[#This Row],[Total of samples (N)  2]]*Tabela46[[#This Row],[34 (%)]]</f>
        <v>271.77600000000001</v>
      </c>
      <c r="BL60" s="21">
        <f>Tabela46[[#This Row],[Total of samples (N)  2]]*Tabela46[[#This Row],[44 (%)]]</f>
        <v>58.11</v>
      </c>
      <c r="BM60" s="21" t="s">
        <v>16</v>
      </c>
      <c r="BN60" s="56">
        <v>894</v>
      </c>
      <c r="BO60" s="68" t="s">
        <v>20</v>
      </c>
    </row>
    <row r="61" spans="1:67" x14ac:dyDescent="0.25">
      <c r="A61" s="5" t="s">
        <v>316</v>
      </c>
      <c r="B61" s="1" t="s">
        <v>230</v>
      </c>
      <c r="C61" s="72">
        <v>14526</v>
      </c>
      <c r="D61" s="5" t="s">
        <v>16</v>
      </c>
      <c r="E61" s="58">
        <v>0.53300000000000003</v>
      </c>
      <c r="F61" s="13">
        <v>0.41499999999999998</v>
      </c>
      <c r="G61" s="13">
        <v>1E-3</v>
      </c>
      <c r="H61" s="13">
        <v>0.05</v>
      </c>
      <c r="I61" s="13" t="s">
        <v>16</v>
      </c>
      <c r="J61" s="13" t="s">
        <v>16</v>
      </c>
      <c r="K61" s="13" t="s">
        <v>16</v>
      </c>
      <c r="L61" s="13" t="s">
        <v>16</v>
      </c>
      <c r="M61" s="13" t="s">
        <v>16</v>
      </c>
      <c r="N61" s="13" t="s">
        <v>16</v>
      </c>
      <c r="O61" s="13" t="s">
        <v>16</v>
      </c>
      <c r="P61" s="13" t="s">
        <v>16</v>
      </c>
      <c r="Q61" s="13" t="s">
        <v>16</v>
      </c>
      <c r="R61" s="13" t="s">
        <v>16</v>
      </c>
      <c r="S61" s="13" t="s">
        <v>16</v>
      </c>
      <c r="T61" s="13" t="s">
        <v>16</v>
      </c>
      <c r="U61" s="13" t="s">
        <v>16</v>
      </c>
      <c r="V61" s="13" t="s">
        <v>16</v>
      </c>
      <c r="W61" s="13" t="s">
        <v>16</v>
      </c>
      <c r="X61" s="13">
        <v>2E-3</v>
      </c>
      <c r="Y61" s="13" t="s">
        <v>16</v>
      </c>
      <c r="Z61" s="13" t="s">
        <v>16</v>
      </c>
      <c r="AA61" s="11">
        <v>14526</v>
      </c>
      <c r="AB61" s="58">
        <v>0.6</v>
      </c>
      <c r="AC61" s="13">
        <v>0.39800000000000002</v>
      </c>
      <c r="AD61" s="21">
        <f>Tabela46[[#This Row],[Total of samples (N)  ]]*Tabela46[[#This Row],[Females (%)]]</f>
        <v>8715.6</v>
      </c>
      <c r="AE61" s="21">
        <f>Tabela46[[#This Row],[Total of samples (N)  ]]*AC61</f>
        <v>5781.348</v>
      </c>
      <c r="AF61" s="55">
        <v>14526</v>
      </c>
      <c r="AG61" s="5">
        <v>2</v>
      </c>
      <c r="AH61" s="5" t="s">
        <v>16</v>
      </c>
      <c r="AI61" s="11">
        <v>1024</v>
      </c>
      <c r="AJ61" s="11">
        <v>11954</v>
      </c>
      <c r="AK61" s="5">
        <v>1</v>
      </c>
      <c r="AL61" s="11">
        <v>1520</v>
      </c>
      <c r="AM61" s="5">
        <v>25</v>
      </c>
      <c r="AN61" s="55">
        <v>14526</v>
      </c>
      <c r="AO61" s="13">
        <v>0.13300000000000001</v>
      </c>
      <c r="AP61" s="13">
        <v>0.85799999999999998</v>
      </c>
      <c r="AQ61" s="13">
        <v>0.01</v>
      </c>
      <c r="AR61" s="21">
        <f>Tabela46[[#This Row],[Total of samples (N)]]*Tabela46[[#This Row],[Hispanic or Latino (%)]]</f>
        <v>1931.9580000000001</v>
      </c>
      <c r="AS61" s="21">
        <f>Tabela46[[#This Row],[Total of samples (N)]]*Tabela46[[#This Row],[Not Hispanic or Latino (%)]]</f>
        <v>12463.307999999999</v>
      </c>
      <c r="AT61" s="21">
        <f>Tabela46[[#This Row],[Total of samples (N)]]*Tabela46[[#This Row],[NA (%) ]]</f>
        <v>145.26</v>
      </c>
      <c r="AU61" s="55">
        <v>14526</v>
      </c>
      <c r="AV61" s="74" t="s">
        <v>435</v>
      </c>
      <c r="AW61" s="9" t="s">
        <v>386</v>
      </c>
      <c r="AX61" s="9" t="s">
        <v>16</v>
      </c>
      <c r="AY61" s="9" t="s">
        <v>16</v>
      </c>
      <c r="AZ61" s="60">
        <v>6.0000000000000001E-3</v>
      </c>
      <c r="BA61" s="10">
        <v>0.112</v>
      </c>
      <c r="BB61" s="10">
        <v>0.02</v>
      </c>
      <c r="BC61" s="10">
        <v>0.56100000000000005</v>
      </c>
      <c r="BD61" s="10">
        <v>0.27400000000000002</v>
      </c>
      <c r="BE61" s="10">
        <v>2.5000000000000001E-2</v>
      </c>
      <c r="BF61" s="10">
        <v>2E-3</v>
      </c>
      <c r="BG61" s="21">
        <f>Tabela46[[#This Row],[Total of samples (N)  2]]*Tabela46[[#This Row],[22 (%)]]</f>
        <v>87.156000000000006</v>
      </c>
      <c r="BH61" s="21">
        <f>Tabela46[[#This Row],[Total of samples (N)  2]]*Tabela46[[#This Row],[23 (%)]]</f>
        <v>1626.912</v>
      </c>
      <c r="BI61" s="21">
        <f>Tabela46[[#This Row],[Total of samples (N)  2]]*Tabela46[[#This Row],[24 (%)]]</f>
        <v>290.52</v>
      </c>
      <c r="BJ61" s="21">
        <f>Tabela46[[#This Row],[Total of samples (N)  2]]*Tabela46[[#This Row],[33 (%)]]</f>
        <v>8149.0860000000011</v>
      </c>
      <c r="BK61" s="21">
        <f>Tabela46[[#This Row],[Total of samples (N)  2]]*Tabela46[[#This Row],[34 (%)]]</f>
        <v>3980.1240000000003</v>
      </c>
      <c r="BL61" s="21">
        <f>Tabela46[[#This Row],[Total of samples (N)  2]]*Tabela46[[#This Row],[44 (%)]]</f>
        <v>363.15000000000003</v>
      </c>
      <c r="BM61" s="21">
        <f>Tabela46[[#This Row],[Total of samples (N)  2]]*Tabela46[[#This Row],[NA (%)]]</f>
        <v>29.052</v>
      </c>
      <c r="BN61" s="55">
        <v>14526</v>
      </c>
      <c r="BO61" s="68" t="s">
        <v>229</v>
      </c>
    </row>
    <row r="62" spans="1:67" x14ac:dyDescent="0.25">
      <c r="A62" s="5" t="s">
        <v>317</v>
      </c>
      <c r="B62" s="1" t="s">
        <v>370</v>
      </c>
      <c r="C62" s="73" t="s">
        <v>20</v>
      </c>
      <c r="D62" s="5" t="s">
        <v>20</v>
      </c>
      <c r="E62" s="58" t="s">
        <v>16</v>
      </c>
      <c r="F62" s="13" t="s">
        <v>16</v>
      </c>
      <c r="G62" s="13" t="s">
        <v>16</v>
      </c>
      <c r="H62" s="13" t="s">
        <v>16</v>
      </c>
      <c r="I62" s="13" t="s">
        <v>16</v>
      </c>
      <c r="J62" s="13" t="s">
        <v>16</v>
      </c>
      <c r="K62" s="13" t="s">
        <v>16</v>
      </c>
      <c r="L62" s="13">
        <v>0.60399999999999998</v>
      </c>
      <c r="M62" s="13">
        <v>0.39600000000000002</v>
      </c>
      <c r="N62" s="13" t="s">
        <v>16</v>
      </c>
      <c r="O62" s="13" t="s">
        <v>16</v>
      </c>
      <c r="P62" s="13" t="s">
        <v>16</v>
      </c>
      <c r="Q62" s="13" t="s">
        <v>16</v>
      </c>
      <c r="R62" s="13" t="s">
        <v>16</v>
      </c>
      <c r="S62" s="13" t="s">
        <v>16</v>
      </c>
      <c r="T62" s="13" t="s">
        <v>16</v>
      </c>
      <c r="U62" s="13" t="s">
        <v>16</v>
      </c>
      <c r="V62" s="13" t="s">
        <v>16</v>
      </c>
      <c r="W62" s="13" t="s">
        <v>16</v>
      </c>
      <c r="X62" s="13" t="s">
        <v>16</v>
      </c>
      <c r="Y62" s="13" t="s">
        <v>16</v>
      </c>
      <c r="Z62" s="13" t="s">
        <v>16</v>
      </c>
      <c r="AA62" s="11">
        <v>1066</v>
      </c>
      <c r="AB62" s="58">
        <v>0.49</v>
      </c>
      <c r="AC62" s="13">
        <v>0.51</v>
      </c>
      <c r="AD62" s="21">
        <f>Tabela46[[#This Row],[Total of samples (N)  ]]*Tabela46[[#This Row],[Females (%)]]</f>
        <v>224.42</v>
      </c>
      <c r="AE62" s="21">
        <f>Tabela46[[#This Row],[Total of samples (N)  ]]*AC62</f>
        <v>233.58</v>
      </c>
      <c r="AF62" s="56">
        <v>458</v>
      </c>
      <c r="AG62" s="5" t="s">
        <v>16</v>
      </c>
      <c r="AH62" s="5" t="s">
        <v>16</v>
      </c>
      <c r="AI62" s="5" t="s">
        <v>16</v>
      </c>
      <c r="AJ62" s="5">
        <v>772</v>
      </c>
      <c r="AK62" s="5" t="s">
        <v>16</v>
      </c>
      <c r="AL62" s="5" t="s">
        <v>16</v>
      </c>
      <c r="AM62" s="5">
        <v>182</v>
      </c>
      <c r="AN62" s="56">
        <v>954</v>
      </c>
      <c r="AO62" s="13" t="s">
        <v>16</v>
      </c>
      <c r="AP62" s="13" t="s">
        <v>16</v>
      </c>
      <c r="AQ62" s="13" t="s">
        <v>16</v>
      </c>
      <c r="AR62" s="21" t="s">
        <v>16</v>
      </c>
      <c r="AS62" s="21" t="s">
        <v>16</v>
      </c>
      <c r="AT62" s="21" t="s">
        <v>16</v>
      </c>
      <c r="AU62" s="56" t="s">
        <v>16</v>
      </c>
      <c r="AV62" s="74" t="s">
        <v>434</v>
      </c>
      <c r="AW62" s="9" t="s">
        <v>433</v>
      </c>
      <c r="AX62" s="9" t="s">
        <v>20</v>
      </c>
      <c r="AY62" s="9" t="s">
        <v>20</v>
      </c>
      <c r="AZ62" s="60" t="s">
        <v>16</v>
      </c>
      <c r="BA62" s="10">
        <v>0.113</v>
      </c>
      <c r="BB62" s="10">
        <v>2.5000000000000001E-2</v>
      </c>
      <c r="BC62" s="10">
        <v>0.377</v>
      </c>
      <c r="BD62" s="10">
        <v>0.13800000000000001</v>
      </c>
      <c r="BE62" s="10">
        <v>1.4E-2</v>
      </c>
      <c r="BF62" s="10">
        <v>0.32</v>
      </c>
      <c r="BG62" s="21" t="s">
        <v>16</v>
      </c>
      <c r="BH62" s="21">
        <f>Tabela46[[#This Row],[Total of samples (N)  2]]*Tabela46[[#This Row],[23 (%)]]</f>
        <v>98.31</v>
      </c>
      <c r="BI62" s="21">
        <f>Tabela46[[#This Row],[Total of samples (N)  2]]*Tabela46[[#This Row],[24 (%)]]</f>
        <v>21.75</v>
      </c>
      <c r="BJ62" s="21">
        <f>Tabela46[[#This Row],[Total of samples (N)  2]]*Tabela46[[#This Row],[33 (%)]]</f>
        <v>327.99</v>
      </c>
      <c r="BK62" s="21">
        <f>Tabela46[[#This Row],[Total of samples (N)  2]]*Tabela46[[#This Row],[34 (%)]]</f>
        <v>120.06000000000002</v>
      </c>
      <c r="BL62" s="21">
        <f>Tabela46[[#This Row],[Total of samples (N)  2]]*Tabela46[[#This Row],[44 (%)]]</f>
        <v>12.18</v>
      </c>
      <c r="BM62" s="21">
        <f>Tabela46[[#This Row],[Total of samples (N)  2]]*Tabela46[[#This Row],[NA (%)]]</f>
        <v>278.40000000000003</v>
      </c>
      <c r="BN62" s="56">
        <v>870</v>
      </c>
      <c r="BO62" s="68" t="s">
        <v>20</v>
      </c>
    </row>
    <row r="63" spans="1:67" x14ac:dyDescent="0.25">
      <c r="A63" s="5" t="s">
        <v>318</v>
      </c>
      <c r="B63" s="1" t="s">
        <v>371</v>
      </c>
      <c r="C63" s="73">
        <v>400</v>
      </c>
      <c r="D63" s="5" t="s">
        <v>20</v>
      </c>
      <c r="E63" s="58" t="s">
        <v>16</v>
      </c>
      <c r="F63" s="13" t="s">
        <v>16</v>
      </c>
      <c r="G63" s="13" t="s">
        <v>16</v>
      </c>
      <c r="H63" s="13" t="s">
        <v>16</v>
      </c>
      <c r="I63" s="13" t="s">
        <v>16</v>
      </c>
      <c r="J63" s="13" t="s">
        <v>16</v>
      </c>
      <c r="K63" s="13" t="s">
        <v>16</v>
      </c>
      <c r="L63" s="13">
        <v>0.70299999999999996</v>
      </c>
      <c r="M63" s="13">
        <v>0.29799999999999999</v>
      </c>
      <c r="N63" s="13" t="s">
        <v>16</v>
      </c>
      <c r="O63" s="13" t="s">
        <v>16</v>
      </c>
      <c r="P63" s="13" t="s">
        <v>16</v>
      </c>
      <c r="Q63" s="13" t="s">
        <v>16</v>
      </c>
      <c r="R63" s="13" t="s">
        <v>16</v>
      </c>
      <c r="S63" s="13" t="s">
        <v>16</v>
      </c>
      <c r="T63" s="13" t="s">
        <v>16</v>
      </c>
      <c r="U63" s="13" t="s">
        <v>16</v>
      </c>
      <c r="V63" s="13" t="s">
        <v>16</v>
      </c>
      <c r="W63" s="13" t="s">
        <v>16</v>
      </c>
      <c r="X63" s="13" t="s">
        <v>16</v>
      </c>
      <c r="Y63" s="13" t="s">
        <v>16</v>
      </c>
      <c r="Z63" s="13" t="s">
        <v>16</v>
      </c>
      <c r="AA63" s="5">
        <v>400</v>
      </c>
      <c r="AB63" s="58">
        <v>0.48</v>
      </c>
      <c r="AC63" s="13">
        <v>0.52</v>
      </c>
      <c r="AD63" s="21">
        <f>Tabela46[[#This Row],[Total of samples (N)  ]]*Tabela46[[#This Row],[Females (%)]]</f>
        <v>192</v>
      </c>
      <c r="AE63" s="21">
        <f>Tabela46[[#This Row],[Total of samples (N)  ]]*AC63</f>
        <v>208</v>
      </c>
      <c r="AF63" s="56">
        <v>400</v>
      </c>
      <c r="AG63" s="5" t="s">
        <v>16</v>
      </c>
      <c r="AH63" s="5" t="s">
        <v>16</v>
      </c>
      <c r="AI63" s="5">
        <v>17</v>
      </c>
      <c r="AJ63" s="5">
        <v>383</v>
      </c>
      <c r="AK63" s="5" t="s">
        <v>16</v>
      </c>
      <c r="AL63" s="5" t="s">
        <v>16</v>
      </c>
      <c r="AM63" s="5" t="s">
        <v>16</v>
      </c>
      <c r="AN63" s="56">
        <v>400</v>
      </c>
      <c r="AO63" s="13" t="s">
        <v>16</v>
      </c>
      <c r="AP63" s="13">
        <v>0.52800000000000002</v>
      </c>
      <c r="AQ63" s="13">
        <v>0.47299999999999998</v>
      </c>
      <c r="AR63" s="21" t="s">
        <v>16</v>
      </c>
      <c r="AS63" s="21">
        <f>Tabela46[[#This Row],[Total of samples (N)]]*Tabela46[[#This Row],[Not Hispanic or Latino (%)]]</f>
        <v>211.20000000000002</v>
      </c>
      <c r="AT63" s="21">
        <f>Tabela46[[#This Row],[Total of samples (N)]]*Tabela46[[#This Row],[NA (%) ]]</f>
        <v>189.2</v>
      </c>
      <c r="AU63" s="56">
        <v>400</v>
      </c>
      <c r="AV63" s="74" t="s">
        <v>467</v>
      </c>
      <c r="AW63" s="9" t="s">
        <v>469</v>
      </c>
      <c r="AX63" s="9" t="s">
        <v>460</v>
      </c>
      <c r="AY63" s="9"/>
      <c r="AZ63" s="60" t="s">
        <v>16</v>
      </c>
      <c r="BA63" s="10">
        <v>5.8000000000000003E-2</v>
      </c>
      <c r="BB63" s="10">
        <v>5.0000000000000001E-3</v>
      </c>
      <c r="BC63" s="10">
        <v>0.253</v>
      </c>
      <c r="BD63" s="10">
        <v>0.24</v>
      </c>
      <c r="BE63" s="10">
        <v>2.8000000000000001E-2</v>
      </c>
      <c r="BF63" s="10">
        <v>0.41799999999999998</v>
      </c>
      <c r="BG63" s="21" t="s">
        <v>16</v>
      </c>
      <c r="BH63" s="21">
        <f>Tabela46[[#This Row],[Total of samples (N)  2]]*Tabela46[[#This Row],[23 (%)]]</f>
        <v>23.200000000000003</v>
      </c>
      <c r="BI63" s="21">
        <f>Tabela46[[#This Row],[Total of samples (N)  2]]*Tabela46[[#This Row],[24 (%)]]</f>
        <v>2</v>
      </c>
      <c r="BJ63" s="21">
        <f>Tabela46[[#This Row],[Total of samples (N)  2]]*Tabela46[[#This Row],[33 (%)]]</f>
        <v>101.2</v>
      </c>
      <c r="BK63" s="21">
        <f>Tabela46[[#This Row],[Total of samples (N)  2]]*Tabela46[[#This Row],[34 (%)]]</f>
        <v>96</v>
      </c>
      <c r="BL63" s="21">
        <f>Tabela46[[#This Row],[Total of samples (N)  2]]*Tabela46[[#This Row],[44 (%)]]</f>
        <v>11.200000000000001</v>
      </c>
      <c r="BM63" s="21">
        <f>Tabela46[[#This Row],[Total of samples (N)  2]]*Tabela46[[#This Row],[NA (%)]]</f>
        <v>167.2</v>
      </c>
      <c r="BN63" s="56">
        <v>400</v>
      </c>
      <c r="BO63" s="70" t="s">
        <v>468</v>
      </c>
    </row>
    <row r="64" spans="1:67" x14ac:dyDescent="0.25">
      <c r="A64" s="5" t="s">
        <v>319</v>
      </c>
      <c r="B64" s="1" t="s">
        <v>372</v>
      </c>
      <c r="C64" s="72">
        <v>2007</v>
      </c>
      <c r="D64" s="11">
        <v>2000</v>
      </c>
      <c r="E64" s="58">
        <v>0.39600000000000002</v>
      </c>
      <c r="F64" s="13">
        <v>0.504</v>
      </c>
      <c r="G64" s="13">
        <v>1E-3</v>
      </c>
      <c r="H64" s="13">
        <v>0.10100000000000001</v>
      </c>
      <c r="I64" s="13" t="s">
        <v>16</v>
      </c>
      <c r="J64" s="13" t="s">
        <v>16</v>
      </c>
      <c r="K64" s="13" t="s">
        <v>16</v>
      </c>
      <c r="L64" s="13" t="s">
        <v>16</v>
      </c>
      <c r="M64" s="13" t="s">
        <v>16</v>
      </c>
      <c r="N64" s="13" t="s">
        <v>16</v>
      </c>
      <c r="O64" s="13" t="s">
        <v>16</v>
      </c>
      <c r="P64" s="13" t="s">
        <v>16</v>
      </c>
      <c r="Q64" s="13" t="s">
        <v>16</v>
      </c>
      <c r="R64" s="13" t="s">
        <v>16</v>
      </c>
      <c r="S64" s="13" t="s">
        <v>16</v>
      </c>
      <c r="T64" s="13" t="s">
        <v>16</v>
      </c>
      <c r="U64" s="13" t="s">
        <v>16</v>
      </c>
      <c r="V64" s="13" t="s">
        <v>16</v>
      </c>
      <c r="W64" s="13" t="s">
        <v>16</v>
      </c>
      <c r="X64" s="13" t="s">
        <v>16</v>
      </c>
      <c r="Y64" s="13" t="s">
        <v>16</v>
      </c>
      <c r="Z64" s="13" t="s">
        <v>16</v>
      </c>
      <c r="AA64" s="11">
        <v>2000</v>
      </c>
      <c r="AB64" s="58">
        <v>0.53900000000000003</v>
      </c>
      <c r="AC64" s="13">
        <v>0.46100000000000002</v>
      </c>
      <c r="AD64" s="21">
        <f>Tabela46[[#This Row],[Total of samples (N)  ]]*Tabela46[[#This Row],[Females (%)]]</f>
        <v>1078</v>
      </c>
      <c r="AE64" s="21">
        <f>Tabela46[[#This Row],[Total of samples (N)  ]]*AC64</f>
        <v>922</v>
      </c>
      <c r="AF64" s="55">
        <v>2000</v>
      </c>
      <c r="AG64" s="5" t="s">
        <v>16</v>
      </c>
      <c r="AH64" s="11">
        <v>1995</v>
      </c>
      <c r="AI64" s="5">
        <v>1</v>
      </c>
      <c r="AJ64" s="5" t="s">
        <v>16</v>
      </c>
      <c r="AK64" s="5" t="s">
        <v>16</v>
      </c>
      <c r="AL64" s="5">
        <v>4</v>
      </c>
      <c r="AM64" s="5" t="s">
        <v>16</v>
      </c>
      <c r="AN64" s="55">
        <v>2000</v>
      </c>
      <c r="AO64" s="13">
        <v>2E-3</v>
      </c>
      <c r="AP64" s="13">
        <v>0.998</v>
      </c>
      <c r="AQ64" s="13" t="s">
        <v>16</v>
      </c>
      <c r="AR64" s="21">
        <f>Tabela46[[#This Row],[Total of samples (N)]]*Tabela46[[#This Row],[Hispanic or Latino (%)]]</f>
        <v>4</v>
      </c>
      <c r="AS64" s="21">
        <f>Tabela46[[#This Row],[Total of samples (N)]]*Tabela46[[#This Row],[Not Hispanic or Latino (%)]]</f>
        <v>1996</v>
      </c>
      <c r="AT64" s="21" t="s">
        <v>16</v>
      </c>
      <c r="AU64" s="55">
        <v>2000</v>
      </c>
      <c r="AV64" s="74" t="s">
        <v>50</v>
      </c>
      <c r="AW64" s="9" t="s">
        <v>419</v>
      </c>
      <c r="AX64" s="9" t="s">
        <v>461</v>
      </c>
      <c r="AY64" s="9" t="s">
        <v>20</v>
      </c>
      <c r="AZ64" s="60">
        <v>2E-3</v>
      </c>
      <c r="BA64" s="10">
        <v>7.4999999999999997E-2</v>
      </c>
      <c r="BB64" s="10">
        <v>2.1000000000000001E-2</v>
      </c>
      <c r="BC64" s="10">
        <v>0.504</v>
      </c>
      <c r="BD64" s="10">
        <v>0.35</v>
      </c>
      <c r="BE64" s="10">
        <v>0.05</v>
      </c>
      <c r="BF64" s="10" t="s">
        <v>16</v>
      </c>
      <c r="BG64" s="21">
        <f>Tabela46[[#This Row],[Total of samples (N)  2]]*Tabela46[[#This Row],[22 (%)]]</f>
        <v>4</v>
      </c>
      <c r="BH64" s="21">
        <f>Tabela46[[#This Row],[Total of samples (N)  2]]*Tabela46[[#This Row],[23 (%)]]</f>
        <v>150</v>
      </c>
      <c r="BI64" s="21">
        <f>Tabela46[[#This Row],[Total of samples (N)  2]]*Tabela46[[#This Row],[24 (%)]]</f>
        <v>42</v>
      </c>
      <c r="BJ64" s="21">
        <f>Tabela46[[#This Row],[Total of samples (N)  2]]*Tabela46[[#This Row],[33 (%)]]</f>
        <v>1008</v>
      </c>
      <c r="BK64" s="21">
        <f>Tabela46[[#This Row],[Total of samples (N)  2]]*Tabela46[[#This Row],[34 (%)]]</f>
        <v>700</v>
      </c>
      <c r="BL64" s="21">
        <f>Tabela46[[#This Row],[Total of samples (N)  2]]*Tabela46[[#This Row],[44 (%)]]</f>
        <v>100</v>
      </c>
      <c r="BM64" s="21" t="s">
        <v>16</v>
      </c>
      <c r="BN64" s="55">
        <v>2000</v>
      </c>
      <c r="BO64" s="68" t="s">
        <v>418</v>
      </c>
    </row>
    <row r="65" spans="1:67" x14ac:dyDescent="0.25">
      <c r="A65" s="5" t="s">
        <v>320</v>
      </c>
      <c r="B65" s="1" t="s">
        <v>373</v>
      </c>
      <c r="C65" s="72">
        <v>2795</v>
      </c>
      <c r="D65" s="11">
        <v>2735</v>
      </c>
      <c r="E65" s="58">
        <v>7.6999999999999999E-2</v>
      </c>
      <c r="F65" s="13">
        <v>0.92300000000000004</v>
      </c>
      <c r="G65" s="13" t="s">
        <v>16</v>
      </c>
      <c r="H65" s="13" t="s">
        <v>16</v>
      </c>
      <c r="I65" s="13" t="s">
        <v>16</v>
      </c>
      <c r="J65" s="13" t="s">
        <v>16</v>
      </c>
      <c r="K65" s="13" t="s">
        <v>16</v>
      </c>
      <c r="L65" s="13" t="s">
        <v>16</v>
      </c>
      <c r="M65" s="13" t="s">
        <v>16</v>
      </c>
      <c r="N65" s="13" t="s">
        <v>16</v>
      </c>
      <c r="O65" s="13" t="s">
        <v>16</v>
      </c>
      <c r="P65" s="13" t="s">
        <v>16</v>
      </c>
      <c r="Q65" s="13" t="s">
        <v>16</v>
      </c>
      <c r="R65" s="13" t="s">
        <v>16</v>
      </c>
      <c r="S65" s="13" t="s">
        <v>16</v>
      </c>
      <c r="T65" s="13" t="s">
        <v>16</v>
      </c>
      <c r="U65" s="13" t="s">
        <v>16</v>
      </c>
      <c r="V65" s="13" t="s">
        <v>16</v>
      </c>
      <c r="W65" s="13" t="s">
        <v>16</v>
      </c>
      <c r="X65" s="13" t="s">
        <v>16</v>
      </c>
      <c r="Y65" s="13" t="s">
        <v>16</v>
      </c>
      <c r="Z65" s="13" t="s">
        <v>16</v>
      </c>
      <c r="AA65" s="11">
        <v>2735</v>
      </c>
      <c r="AB65" s="58">
        <v>0.56999999999999995</v>
      </c>
      <c r="AC65" s="13">
        <v>0.43</v>
      </c>
      <c r="AD65" s="21">
        <f>Tabela46[[#This Row],[Total of samples (N)  ]]*Tabela46[[#This Row],[Females (%)]]</f>
        <v>1558.9499999999998</v>
      </c>
      <c r="AE65" s="21">
        <f>Tabela46[[#This Row],[Total of samples (N)  ]]*AC65</f>
        <v>1176.05</v>
      </c>
      <c r="AF65" s="55">
        <v>2735</v>
      </c>
      <c r="AG65" s="5" t="s">
        <v>16</v>
      </c>
      <c r="AH65" s="5">
        <v>14</v>
      </c>
      <c r="AI65" s="5">
        <v>1</v>
      </c>
      <c r="AJ65" s="11">
        <v>2704</v>
      </c>
      <c r="AK65" s="5">
        <v>1</v>
      </c>
      <c r="AL65" s="5">
        <v>13</v>
      </c>
      <c r="AM65" s="5">
        <v>2</v>
      </c>
      <c r="AN65" s="55">
        <v>2735</v>
      </c>
      <c r="AO65" s="13">
        <v>8.0000000000000002E-3</v>
      </c>
      <c r="AP65" s="13">
        <v>0.99199999999999999</v>
      </c>
      <c r="AQ65" s="13" t="s">
        <v>16</v>
      </c>
      <c r="AR65" s="21">
        <f>Tabela46[[#This Row],[Total of samples (N)]]*Tabela46[[#This Row],[Hispanic or Latino (%)]]</f>
        <v>21.88</v>
      </c>
      <c r="AS65" s="21">
        <f>Tabela46[[#This Row],[Total of samples (N)]]*Tabela46[[#This Row],[Not Hispanic or Latino (%)]]</f>
        <v>2713.12</v>
      </c>
      <c r="AT65" s="21" t="s">
        <v>16</v>
      </c>
      <c r="AU65" s="55">
        <v>2735</v>
      </c>
      <c r="AV65" s="74" t="s">
        <v>50</v>
      </c>
      <c r="AW65" s="9" t="s">
        <v>393</v>
      </c>
      <c r="AX65" s="9" t="s">
        <v>462</v>
      </c>
      <c r="AY65" s="9" t="s">
        <v>20</v>
      </c>
      <c r="AZ65" s="60">
        <v>5.0000000000000001E-3</v>
      </c>
      <c r="BA65" s="10">
        <v>0.13900000000000001</v>
      </c>
      <c r="BB65" s="10">
        <v>2.8000000000000001E-2</v>
      </c>
      <c r="BC65" s="10">
        <v>0.61399999999999999</v>
      </c>
      <c r="BD65" s="10">
        <v>0.19600000000000001</v>
      </c>
      <c r="BE65" s="10">
        <v>1.0999999999999999E-2</v>
      </c>
      <c r="BF65" s="10">
        <v>6.0000000000000001E-3</v>
      </c>
      <c r="BG65" s="21">
        <f>Tabela46[[#This Row],[Total of samples (N)  2]]*Tabela46[[#This Row],[22 (%)]]</f>
        <v>13.675000000000001</v>
      </c>
      <c r="BH65" s="21">
        <f>Tabela46[[#This Row],[Total of samples (N)  2]]*Tabela46[[#This Row],[23 (%)]]</f>
        <v>380.16500000000002</v>
      </c>
      <c r="BI65" s="21">
        <f>Tabela46[[#This Row],[Total of samples (N)  2]]*Tabela46[[#This Row],[24 (%)]]</f>
        <v>76.58</v>
      </c>
      <c r="BJ65" s="21">
        <f>Tabela46[[#This Row],[Total of samples (N)  2]]*Tabela46[[#This Row],[33 (%)]]</f>
        <v>1679.29</v>
      </c>
      <c r="BK65" s="21">
        <f>Tabela46[[#This Row],[Total of samples (N)  2]]*Tabela46[[#This Row],[34 (%)]]</f>
        <v>536.06000000000006</v>
      </c>
      <c r="BL65" s="21">
        <f>Tabela46[[#This Row],[Total of samples (N)  2]]*Tabela46[[#This Row],[44 (%)]]</f>
        <v>30.084999999999997</v>
      </c>
      <c r="BM65" s="21">
        <f>Tabela46[[#This Row],[Total of samples (N)  2]]*Tabela46[[#This Row],[NA (%)]]</f>
        <v>16.41</v>
      </c>
      <c r="BN65" s="55">
        <v>2735</v>
      </c>
      <c r="BO65" s="68" t="s">
        <v>438</v>
      </c>
    </row>
    <row r="66" spans="1:67" x14ac:dyDescent="0.25">
      <c r="A66" s="5" t="s">
        <v>321</v>
      </c>
      <c r="B66" s="1" t="s">
        <v>374</v>
      </c>
      <c r="C66" s="72">
        <v>8510</v>
      </c>
      <c r="D66" s="11">
        <v>8285</v>
      </c>
      <c r="E66" s="58">
        <v>9.8000000000000004E-2</v>
      </c>
      <c r="F66" s="13">
        <v>0.73599999999999999</v>
      </c>
      <c r="G66" s="13">
        <v>2.1999999999999999E-2</v>
      </c>
      <c r="H66" s="13">
        <v>0.14499999999999999</v>
      </c>
      <c r="I66" s="13" t="s">
        <v>16</v>
      </c>
      <c r="J66" s="13" t="s">
        <v>16</v>
      </c>
      <c r="K66" s="13" t="s">
        <v>16</v>
      </c>
      <c r="L66" s="13" t="s">
        <v>16</v>
      </c>
      <c r="M66" s="13" t="s">
        <v>16</v>
      </c>
      <c r="N66" s="13" t="s">
        <v>16</v>
      </c>
      <c r="O66" s="13" t="s">
        <v>16</v>
      </c>
      <c r="P66" s="13" t="s">
        <v>16</v>
      </c>
      <c r="Q66" s="13" t="s">
        <v>16</v>
      </c>
      <c r="R66" s="13" t="s">
        <v>16</v>
      </c>
      <c r="S66" s="13" t="s">
        <v>16</v>
      </c>
      <c r="T66" s="13" t="s">
        <v>16</v>
      </c>
      <c r="U66" s="13" t="s">
        <v>16</v>
      </c>
      <c r="V66" s="13" t="s">
        <v>16</v>
      </c>
      <c r="W66" s="13" t="s">
        <v>16</v>
      </c>
      <c r="X66" s="13" t="s">
        <v>16</v>
      </c>
      <c r="Y66" s="13" t="s">
        <v>16</v>
      </c>
      <c r="Z66" s="13" t="s">
        <v>16</v>
      </c>
      <c r="AA66" s="11">
        <v>8285</v>
      </c>
      <c r="AB66" s="58">
        <v>0.61399999999999999</v>
      </c>
      <c r="AC66" s="13">
        <v>0.38600000000000001</v>
      </c>
      <c r="AD66" s="21">
        <f>Tabela46[[#This Row],[Total of samples (N)  ]]*Tabela46[[#This Row],[Females (%)]]</f>
        <v>5086.99</v>
      </c>
      <c r="AE66" s="21">
        <f>Tabela46[[#This Row],[Total of samples (N)  ]]*AC66</f>
        <v>3198.01</v>
      </c>
      <c r="AF66" s="55">
        <v>8285</v>
      </c>
      <c r="AG66" s="5">
        <v>15</v>
      </c>
      <c r="AH66" s="5">
        <v>681</v>
      </c>
      <c r="AI66" s="11">
        <v>1101</v>
      </c>
      <c r="AJ66" s="11">
        <v>4694</v>
      </c>
      <c r="AK66" s="5">
        <v>6</v>
      </c>
      <c r="AL66" s="11">
        <v>1729</v>
      </c>
      <c r="AM66" s="5">
        <v>58</v>
      </c>
      <c r="AN66" s="55">
        <v>8284</v>
      </c>
      <c r="AO66" s="13">
        <v>0.27800000000000002</v>
      </c>
      <c r="AP66" s="13">
        <v>0.71</v>
      </c>
      <c r="AQ66" s="13">
        <v>1.2E-2</v>
      </c>
      <c r="AR66" s="21">
        <f>Tabela46[[#This Row],[Total of samples (N)]]*Tabela46[[#This Row],[Hispanic or Latino (%)]]</f>
        <v>2303.23</v>
      </c>
      <c r="AS66" s="21">
        <f>Tabela46[[#This Row],[Total of samples (N)]]*Tabela46[[#This Row],[Not Hispanic or Latino (%)]]</f>
        <v>5882.3499999999995</v>
      </c>
      <c r="AT66" s="21">
        <f>Tabela46[[#This Row],[Total of samples (N)]]*Tabela46[[#This Row],[NA (%) ]]</f>
        <v>99.42</v>
      </c>
      <c r="AU66" s="55">
        <v>8285</v>
      </c>
      <c r="AV66" s="74" t="s">
        <v>50</v>
      </c>
      <c r="AW66" s="9" t="s">
        <v>392</v>
      </c>
      <c r="AX66" s="9" t="s">
        <v>463</v>
      </c>
      <c r="AY66" s="9" t="s">
        <v>16</v>
      </c>
      <c r="AZ66" s="60">
        <v>5.0000000000000001E-3</v>
      </c>
      <c r="BA66" s="10">
        <v>9.1999999999999998E-2</v>
      </c>
      <c r="BB66" s="10">
        <v>2.1999999999999999E-2</v>
      </c>
      <c r="BC66" s="10">
        <v>0.50700000000000001</v>
      </c>
      <c r="BD66" s="10">
        <v>0.30199999999999999</v>
      </c>
      <c r="BE66" s="10">
        <v>5.1999999999999998E-2</v>
      </c>
      <c r="BF66" s="10">
        <v>2.1000000000000001E-2</v>
      </c>
      <c r="BG66" s="21">
        <f>Tabela46[[#This Row],[Total of samples (N)  2]]*Tabela46[[#This Row],[22 (%)]]</f>
        <v>41.425000000000004</v>
      </c>
      <c r="BH66" s="21">
        <f>Tabela46[[#This Row],[Total of samples (N)  2]]*Tabela46[[#This Row],[23 (%)]]</f>
        <v>762.22</v>
      </c>
      <c r="BI66" s="21">
        <f>Tabela46[[#This Row],[Total of samples (N)  2]]*Tabela46[[#This Row],[24 (%)]]</f>
        <v>182.26999999999998</v>
      </c>
      <c r="BJ66" s="21">
        <f>Tabela46[[#This Row],[Total of samples (N)  2]]*Tabela46[[#This Row],[33 (%)]]</f>
        <v>4200.4949999999999</v>
      </c>
      <c r="BK66" s="21">
        <f>Tabela46[[#This Row],[Total of samples (N)  2]]*Tabela46[[#This Row],[34 (%)]]</f>
        <v>2502.0699999999997</v>
      </c>
      <c r="BL66" s="21">
        <f>Tabela46[[#This Row],[Total of samples (N)  2]]*Tabela46[[#This Row],[44 (%)]]</f>
        <v>430.82</v>
      </c>
      <c r="BM66" s="21">
        <f>Tabela46[[#This Row],[Total of samples (N)  2]]*Tabela46[[#This Row],[NA (%)]]</f>
        <v>173.98500000000001</v>
      </c>
      <c r="BN66" s="55">
        <v>8285</v>
      </c>
      <c r="BO66" s="68" t="s">
        <v>243</v>
      </c>
    </row>
    <row r="67" spans="1:67" x14ac:dyDescent="0.25">
      <c r="A67" s="5" t="s">
        <v>322</v>
      </c>
      <c r="B67" s="1" t="s">
        <v>375</v>
      </c>
      <c r="C67" s="72">
        <v>1264</v>
      </c>
      <c r="D67" s="11">
        <v>1183</v>
      </c>
      <c r="E67" s="58">
        <v>0.55000000000000004</v>
      </c>
      <c r="F67" s="13">
        <v>0.21299999999999999</v>
      </c>
      <c r="G67" s="13">
        <v>3.0000000000000001E-3</v>
      </c>
      <c r="H67" s="13">
        <v>0.23300000000000001</v>
      </c>
      <c r="I67" s="13" t="s">
        <v>16</v>
      </c>
      <c r="J67" s="13" t="s">
        <v>16</v>
      </c>
      <c r="K67" s="13" t="s">
        <v>16</v>
      </c>
      <c r="L67" s="13" t="s">
        <v>16</v>
      </c>
      <c r="M67" s="13" t="s">
        <v>16</v>
      </c>
      <c r="N67" s="13" t="s">
        <v>16</v>
      </c>
      <c r="O67" s="13" t="s">
        <v>16</v>
      </c>
      <c r="P67" s="13" t="s">
        <v>16</v>
      </c>
      <c r="Q67" s="13" t="s">
        <v>16</v>
      </c>
      <c r="R67" s="13" t="s">
        <v>16</v>
      </c>
      <c r="S67" s="13" t="s">
        <v>16</v>
      </c>
      <c r="T67" s="13" t="s">
        <v>16</v>
      </c>
      <c r="U67" s="13" t="s">
        <v>16</v>
      </c>
      <c r="V67" s="13" t="s">
        <v>16</v>
      </c>
      <c r="W67" s="13" t="s">
        <v>16</v>
      </c>
      <c r="X67" s="13" t="s">
        <v>16</v>
      </c>
      <c r="Y67" s="13" t="s">
        <v>16</v>
      </c>
      <c r="Z67" s="13" t="s">
        <v>16</v>
      </c>
      <c r="AA67" s="11">
        <v>1183</v>
      </c>
      <c r="AB67" s="58">
        <v>0.53100000000000003</v>
      </c>
      <c r="AC67" s="13">
        <v>0.46899999999999997</v>
      </c>
      <c r="AD67" s="21">
        <f>Tabela46[[#This Row],[Total of samples (N)  ]]*Tabela46[[#This Row],[Females (%)]]</f>
        <v>628.173</v>
      </c>
      <c r="AE67" s="21">
        <f>Tabela46[[#This Row],[Total of samples (N)  ]]*AC67</f>
        <v>554.827</v>
      </c>
      <c r="AF67" s="55">
        <v>1183</v>
      </c>
      <c r="AG67" s="5" t="s">
        <v>16</v>
      </c>
      <c r="AH67" s="5">
        <v>9</v>
      </c>
      <c r="AI67" s="5">
        <v>30</v>
      </c>
      <c r="AJ67" s="11">
        <v>1076</v>
      </c>
      <c r="AK67" s="5" t="s">
        <v>16</v>
      </c>
      <c r="AL67" s="5">
        <v>62</v>
      </c>
      <c r="AM67" s="5">
        <v>6</v>
      </c>
      <c r="AN67" s="55">
        <v>1183</v>
      </c>
      <c r="AO67" s="13">
        <v>7.0999999999999994E-2</v>
      </c>
      <c r="AP67" s="13">
        <v>0.91700000000000004</v>
      </c>
      <c r="AQ67" s="13">
        <v>1.2E-2</v>
      </c>
      <c r="AR67" s="21">
        <f>Tabela46[[#This Row],[Total of samples (N)]]*Tabela46[[#This Row],[Hispanic or Latino (%)]]</f>
        <v>83.992999999999995</v>
      </c>
      <c r="AS67" s="21">
        <f>Tabela46[[#This Row],[Total of samples (N)]]*Tabela46[[#This Row],[Not Hispanic or Latino (%)]]</f>
        <v>1084.8110000000001</v>
      </c>
      <c r="AT67" s="21">
        <f>Tabela46[[#This Row],[Total of samples (N)]]*Tabela46[[#This Row],[NA (%) ]]</f>
        <v>14.196</v>
      </c>
      <c r="AU67" s="55">
        <v>1183</v>
      </c>
      <c r="AV67" s="74" t="s">
        <v>50</v>
      </c>
      <c r="AW67" s="9" t="s">
        <v>392</v>
      </c>
      <c r="AX67" s="9" t="s">
        <v>464</v>
      </c>
      <c r="AY67" s="9" t="s">
        <v>20</v>
      </c>
      <c r="AZ67" s="60">
        <v>5.0000000000000001E-3</v>
      </c>
      <c r="BA67" s="10">
        <v>6.9000000000000006E-2</v>
      </c>
      <c r="BB67" s="10">
        <v>1.6E-2</v>
      </c>
      <c r="BC67" s="10">
        <v>0.44700000000000001</v>
      </c>
      <c r="BD67" s="10">
        <v>0.318</v>
      </c>
      <c r="BE67" s="10">
        <v>0.13500000000000001</v>
      </c>
      <c r="BF67" s="10">
        <v>8.9999999999999993E-3</v>
      </c>
      <c r="BG67" s="21">
        <f>Tabela46[[#This Row],[Total of samples (N)  2]]*Tabela46[[#This Row],[22 (%)]]</f>
        <v>5.915</v>
      </c>
      <c r="BH67" s="21">
        <f>Tabela46[[#This Row],[Total of samples (N)  2]]*Tabela46[[#This Row],[23 (%)]]</f>
        <v>81.62700000000001</v>
      </c>
      <c r="BI67" s="21">
        <f>Tabela46[[#This Row],[Total of samples (N)  2]]*Tabela46[[#This Row],[24 (%)]]</f>
        <v>18.928000000000001</v>
      </c>
      <c r="BJ67" s="21">
        <f>Tabela46[[#This Row],[Total of samples (N)  2]]*Tabela46[[#This Row],[33 (%)]]</f>
        <v>528.80100000000004</v>
      </c>
      <c r="BK67" s="21">
        <f>Tabela46[[#This Row],[Total of samples (N)  2]]*Tabela46[[#This Row],[34 (%)]]</f>
        <v>376.19400000000002</v>
      </c>
      <c r="BL67" s="21">
        <f>Tabela46[[#This Row],[Total of samples (N)  2]]*Tabela46[[#This Row],[44 (%)]]</f>
        <v>159.70500000000001</v>
      </c>
      <c r="BM67" s="21">
        <f>Tabela46[[#This Row],[Total of samples (N)  2]]*Tabela46[[#This Row],[NA (%)]]</f>
        <v>10.646999999999998</v>
      </c>
      <c r="BN67" s="55">
        <v>1183</v>
      </c>
      <c r="BO67" s="68" t="s">
        <v>243</v>
      </c>
    </row>
    <row r="68" spans="1:67" x14ac:dyDescent="0.25">
      <c r="A68" s="5" t="s">
        <v>323</v>
      </c>
      <c r="B68" s="1" t="s">
        <v>376</v>
      </c>
      <c r="C68" s="72">
        <v>1113</v>
      </c>
      <c r="D68" s="11">
        <v>1070</v>
      </c>
      <c r="E68" s="58">
        <v>0.318</v>
      </c>
      <c r="F68" s="13">
        <v>0.58799999999999997</v>
      </c>
      <c r="G68" s="13" t="s">
        <v>16</v>
      </c>
      <c r="H68" s="13">
        <v>9.4E-2</v>
      </c>
      <c r="I68" s="13" t="s">
        <v>16</v>
      </c>
      <c r="J68" s="13" t="s">
        <v>16</v>
      </c>
      <c r="K68" s="13" t="s">
        <v>16</v>
      </c>
      <c r="L68" s="13" t="s">
        <v>16</v>
      </c>
      <c r="M68" s="13" t="s">
        <v>16</v>
      </c>
      <c r="N68" s="13" t="s">
        <v>16</v>
      </c>
      <c r="O68" s="13" t="s">
        <v>16</v>
      </c>
      <c r="P68" s="13" t="s">
        <v>16</v>
      </c>
      <c r="Q68" s="13" t="s">
        <v>16</v>
      </c>
      <c r="R68" s="13" t="s">
        <v>16</v>
      </c>
      <c r="S68" s="13" t="s">
        <v>16</v>
      </c>
      <c r="T68" s="13" t="s">
        <v>16</v>
      </c>
      <c r="U68" s="13" t="s">
        <v>16</v>
      </c>
      <c r="V68" s="13" t="s">
        <v>16</v>
      </c>
      <c r="W68" s="13" t="s">
        <v>16</v>
      </c>
      <c r="X68" s="13" t="s">
        <v>16</v>
      </c>
      <c r="Y68" s="13" t="s">
        <v>16</v>
      </c>
      <c r="Z68" s="13" t="s">
        <v>16</v>
      </c>
      <c r="AA68" s="11">
        <v>1070</v>
      </c>
      <c r="AB68" s="58">
        <v>0.55600000000000005</v>
      </c>
      <c r="AC68" s="13">
        <v>0.44400000000000001</v>
      </c>
      <c r="AD68" s="21">
        <f>Tabela46[[#This Row],[Total of samples (N)  ]]*Tabela46[[#This Row],[Females (%)]]</f>
        <v>594.92000000000007</v>
      </c>
      <c r="AE68" s="21">
        <f>Tabela46[[#This Row],[Total of samples (N)  ]]*AC68</f>
        <v>475.08</v>
      </c>
      <c r="AF68" s="55">
        <v>1070</v>
      </c>
      <c r="AG68" s="5">
        <v>3</v>
      </c>
      <c r="AH68" s="5">
        <v>4</v>
      </c>
      <c r="AI68" s="5">
        <v>126</v>
      </c>
      <c r="AJ68" s="5">
        <v>932</v>
      </c>
      <c r="AK68" s="5" t="s">
        <v>16</v>
      </c>
      <c r="AL68" s="5">
        <v>5</v>
      </c>
      <c r="AM68" s="5" t="s">
        <v>16</v>
      </c>
      <c r="AN68" s="55">
        <v>1070</v>
      </c>
      <c r="AO68" s="13" t="s">
        <v>16</v>
      </c>
      <c r="AP68" s="13">
        <v>0.86</v>
      </c>
      <c r="AQ68" s="13">
        <v>0.14000000000000001</v>
      </c>
      <c r="AR68" s="21" t="s">
        <v>16</v>
      </c>
      <c r="AS68" s="21">
        <f>Tabela46[[#This Row],[Total of samples (N)]]*Tabela46[[#This Row],[Not Hispanic or Latino (%)]]</f>
        <v>920.19999999999993</v>
      </c>
      <c r="AT68" s="21">
        <f>Tabela46[[#This Row],[Total of samples (N)]]*Tabela46[[#This Row],[NA (%) ]]</f>
        <v>149.80000000000001</v>
      </c>
      <c r="AU68" s="55">
        <v>1070</v>
      </c>
      <c r="AV68" s="74" t="s">
        <v>50</v>
      </c>
      <c r="AW68" s="9" t="s">
        <v>419</v>
      </c>
      <c r="AX68" s="9" t="s">
        <v>464</v>
      </c>
      <c r="AY68" s="9" t="s">
        <v>20</v>
      </c>
      <c r="AZ68" s="60">
        <v>8.0000000000000002E-3</v>
      </c>
      <c r="BA68" s="10">
        <v>0.11799999999999999</v>
      </c>
      <c r="BB68" s="10">
        <v>3.3000000000000002E-2</v>
      </c>
      <c r="BC68" s="10">
        <v>0.47799999999999998</v>
      </c>
      <c r="BD68" s="10">
        <v>0.315</v>
      </c>
      <c r="BE68" s="10">
        <v>4.5999999999999999E-2</v>
      </c>
      <c r="BF68" s="10">
        <v>3.0000000000000001E-3</v>
      </c>
      <c r="BG68" s="21">
        <f>Tabela46[[#This Row],[Total of samples (N)  2]]*Tabela46[[#This Row],[22 (%)]]</f>
        <v>8.56</v>
      </c>
      <c r="BH68" s="21">
        <f>Tabela46[[#This Row],[Total of samples (N)  2]]*Tabela46[[#This Row],[23 (%)]]</f>
        <v>126.25999999999999</v>
      </c>
      <c r="BI68" s="21">
        <f>Tabela46[[#This Row],[Total of samples (N)  2]]*Tabela46[[#This Row],[24 (%)]]</f>
        <v>35.31</v>
      </c>
      <c r="BJ68" s="21">
        <f>Tabela46[[#This Row],[Total of samples (N)  2]]*Tabela46[[#This Row],[33 (%)]]</f>
        <v>511.46</v>
      </c>
      <c r="BK68" s="21">
        <f>Tabela46[[#This Row],[Total of samples (N)  2]]*Tabela46[[#This Row],[34 (%)]]</f>
        <v>337.05</v>
      </c>
      <c r="BL68" s="21">
        <f>Tabela46[[#This Row],[Total of samples (N)  2]]*Tabela46[[#This Row],[44 (%)]]</f>
        <v>49.22</v>
      </c>
      <c r="BM68" s="21">
        <f>Tabela46[[#This Row],[Total of samples (N)  2]]*Tabela46[[#This Row],[NA (%)]]</f>
        <v>3.21</v>
      </c>
      <c r="BN68" s="55">
        <v>1070</v>
      </c>
      <c r="BO68" s="68" t="s">
        <v>470</v>
      </c>
    </row>
    <row r="69" spans="1:67" x14ac:dyDescent="0.25">
      <c r="A69" s="5" t="s">
        <v>324</v>
      </c>
      <c r="B69" s="1" t="s">
        <v>377</v>
      </c>
      <c r="C69" s="73">
        <v>659</v>
      </c>
      <c r="D69" s="5">
        <v>646</v>
      </c>
      <c r="E69" s="58">
        <v>0.81</v>
      </c>
      <c r="F69" s="13">
        <v>7.9000000000000001E-2</v>
      </c>
      <c r="G69" s="13">
        <v>5.0999999999999997E-2</v>
      </c>
      <c r="H69" s="13">
        <v>0.06</v>
      </c>
      <c r="I69" s="13" t="s">
        <v>16</v>
      </c>
      <c r="J69" s="13" t="s">
        <v>16</v>
      </c>
      <c r="K69" s="13" t="s">
        <v>16</v>
      </c>
      <c r="L69" s="13" t="s">
        <v>16</v>
      </c>
      <c r="M69" s="13" t="s">
        <v>16</v>
      </c>
      <c r="N69" s="13" t="s">
        <v>16</v>
      </c>
      <c r="O69" s="13" t="s">
        <v>16</v>
      </c>
      <c r="P69" s="13" t="s">
        <v>16</v>
      </c>
      <c r="Q69" s="13" t="s">
        <v>16</v>
      </c>
      <c r="R69" s="13" t="s">
        <v>16</v>
      </c>
      <c r="S69" s="13" t="s">
        <v>16</v>
      </c>
      <c r="T69" s="13" t="s">
        <v>16</v>
      </c>
      <c r="U69" s="13" t="s">
        <v>16</v>
      </c>
      <c r="V69" s="13" t="s">
        <v>16</v>
      </c>
      <c r="W69" s="13" t="s">
        <v>16</v>
      </c>
      <c r="X69" s="13" t="s">
        <v>16</v>
      </c>
      <c r="Y69" s="13" t="s">
        <v>16</v>
      </c>
      <c r="Z69" s="13" t="s">
        <v>16</v>
      </c>
      <c r="AA69" s="5">
        <v>646</v>
      </c>
      <c r="AB69" s="58">
        <v>0.63800000000000001</v>
      </c>
      <c r="AC69" s="13">
        <v>0.36199999999999999</v>
      </c>
      <c r="AD69" s="21">
        <f>Tabela46[[#This Row],[Total of samples (N)  ]]*Tabela46[[#This Row],[Females (%)]]</f>
        <v>412.14800000000002</v>
      </c>
      <c r="AE69" s="21">
        <f>Tabela46[[#This Row],[Total of samples (N)  ]]*AC69</f>
        <v>233.852</v>
      </c>
      <c r="AF69" s="56">
        <v>646</v>
      </c>
      <c r="AG69" s="5" t="s">
        <v>16</v>
      </c>
      <c r="AH69" s="5" t="s">
        <v>16</v>
      </c>
      <c r="AI69" s="5">
        <v>17</v>
      </c>
      <c r="AJ69" s="5">
        <v>628</v>
      </c>
      <c r="AK69" s="5" t="s">
        <v>16</v>
      </c>
      <c r="AL69" s="5">
        <v>1</v>
      </c>
      <c r="AM69" s="5" t="s">
        <v>16</v>
      </c>
      <c r="AN69" s="56">
        <v>646</v>
      </c>
      <c r="AO69" s="13">
        <v>2E-3</v>
      </c>
      <c r="AP69" s="13">
        <v>0.92</v>
      </c>
      <c r="AQ69" s="13">
        <v>7.9000000000000001E-2</v>
      </c>
      <c r="AR69" s="21">
        <f>Tabela46[[#This Row],[Total of samples (N)]]*Tabela46[[#This Row],[Hispanic or Latino (%)]]</f>
        <v>1.292</v>
      </c>
      <c r="AS69" s="21">
        <f>Tabela46[[#This Row],[Total of samples (N)]]*Tabela46[[#This Row],[Not Hispanic or Latino (%)]]</f>
        <v>594.32000000000005</v>
      </c>
      <c r="AT69" s="21">
        <f>Tabela46[[#This Row],[Total of samples (N)]]*Tabela46[[#This Row],[NA (%) ]]</f>
        <v>51.033999999999999</v>
      </c>
      <c r="AU69" s="56">
        <v>646</v>
      </c>
      <c r="AV69" s="74" t="s">
        <v>50</v>
      </c>
      <c r="AW69" s="9" t="s">
        <v>419</v>
      </c>
      <c r="AX69" s="9" t="s">
        <v>471</v>
      </c>
      <c r="AY69" s="9" t="s">
        <v>20</v>
      </c>
      <c r="AZ69" s="60" t="s">
        <v>16</v>
      </c>
      <c r="BA69" s="10">
        <v>4.8000000000000001E-2</v>
      </c>
      <c r="BB69" s="10">
        <v>3.1E-2</v>
      </c>
      <c r="BC69" s="10">
        <v>0.316</v>
      </c>
      <c r="BD69" s="10">
        <v>0.41799999999999998</v>
      </c>
      <c r="BE69" s="10">
        <v>0.16900000000000001</v>
      </c>
      <c r="BF69" s="10">
        <v>1.9E-2</v>
      </c>
      <c r="BG69" s="21" t="s">
        <v>16</v>
      </c>
      <c r="BH69" s="21">
        <f>Tabela46[[#This Row],[Total of samples (N)  2]]*Tabela46[[#This Row],[23 (%)]]</f>
        <v>31.007999999999999</v>
      </c>
      <c r="BI69" s="21">
        <f>Tabela46[[#This Row],[Total of samples (N)  2]]*Tabela46[[#This Row],[24 (%)]]</f>
        <v>20.026</v>
      </c>
      <c r="BJ69" s="21">
        <f>Tabela46[[#This Row],[Total of samples (N)  2]]*Tabela46[[#This Row],[33 (%)]]</f>
        <v>204.136</v>
      </c>
      <c r="BK69" s="21">
        <f>Tabela46[[#This Row],[Total of samples (N)  2]]*Tabela46[[#This Row],[34 (%)]]</f>
        <v>270.02799999999996</v>
      </c>
      <c r="BL69" s="21">
        <f>Tabela46[[#This Row],[Total of samples (N)  2]]*Tabela46[[#This Row],[44 (%)]]</f>
        <v>109.17400000000001</v>
      </c>
      <c r="BM69" s="21">
        <f>Tabela46[[#This Row],[Total of samples (N)  2]]*Tabela46[[#This Row],[NA (%)]]</f>
        <v>12.273999999999999</v>
      </c>
      <c r="BN69" s="56">
        <v>646</v>
      </c>
      <c r="BO69" s="68" t="s">
        <v>418</v>
      </c>
    </row>
    <row r="70" spans="1:67" x14ac:dyDescent="0.25">
      <c r="A70" s="5" t="s">
        <v>325</v>
      </c>
      <c r="B70" s="1" t="s">
        <v>378</v>
      </c>
      <c r="C70" s="73">
        <v>27</v>
      </c>
      <c r="D70" s="5">
        <v>21</v>
      </c>
      <c r="E70" s="58">
        <v>0.85699999999999998</v>
      </c>
      <c r="F70" s="13">
        <v>9.5000000000000001E-2</v>
      </c>
      <c r="G70" s="13">
        <v>4.8000000000000001E-2</v>
      </c>
      <c r="H70" s="13" t="s">
        <v>20</v>
      </c>
      <c r="I70" s="13" t="s">
        <v>16</v>
      </c>
      <c r="J70" s="13" t="s">
        <v>16</v>
      </c>
      <c r="K70" s="13" t="s">
        <v>16</v>
      </c>
      <c r="L70" s="13" t="s">
        <v>16</v>
      </c>
      <c r="M70" s="13" t="s">
        <v>16</v>
      </c>
      <c r="N70" s="13" t="s">
        <v>16</v>
      </c>
      <c r="O70" s="13" t="s">
        <v>16</v>
      </c>
      <c r="P70" s="13" t="s">
        <v>16</v>
      </c>
      <c r="Q70" s="13" t="s">
        <v>16</v>
      </c>
      <c r="R70" s="13" t="s">
        <v>16</v>
      </c>
      <c r="S70" s="13" t="s">
        <v>16</v>
      </c>
      <c r="T70" s="13" t="s">
        <v>16</v>
      </c>
      <c r="U70" s="13" t="s">
        <v>16</v>
      </c>
      <c r="V70" s="13" t="s">
        <v>16</v>
      </c>
      <c r="W70" s="13" t="s">
        <v>16</v>
      </c>
      <c r="X70" s="13"/>
      <c r="Y70" s="13" t="s">
        <v>16</v>
      </c>
      <c r="Z70" s="13"/>
      <c r="AA70" s="5">
        <v>21</v>
      </c>
      <c r="AB70" s="58">
        <v>0.66700000000000004</v>
      </c>
      <c r="AC70" s="13">
        <v>0.33300000000000002</v>
      </c>
      <c r="AD70" s="21">
        <f>Tabela46[[#This Row],[Total of samples (N)  ]]*Tabela46[[#This Row],[Females (%)]]</f>
        <v>14.007000000000001</v>
      </c>
      <c r="AE70" s="21">
        <f>Tabela46[[#This Row],[Total of samples (N)  ]]*AC70</f>
        <v>6.9930000000000003</v>
      </c>
      <c r="AF70" s="56">
        <v>21</v>
      </c>
      <c r="AG70" s="5" t="s">
        <v>16</v>
      </c>
      <c r="AH70" s="5" t="s">
        <v>16</v>
      </c>
      <c r="AI70" s="5" t="s">
        <v>16</v>
      </c>
      <c r="AJ70" s="5">
        <v>20</v>
      </c>
      <c r="AK70" s="5" t="s">
        <v>16</v>
      </c>
      <c r="AL70" s="5">
        <v>1</v>
      </c>
      <c r="AM70" s="5" t="s">
        <v>16</v>
      </c>
      <c r="AN70" s="56">
        <v>21</v>
      </c>
      <c r="AO70" s="13">
        <v>0.19</v>
      </c>
      <c r="AP70" s="13">
        <v>0.38100000000000001</v>
      </c>
      <c r="AQ70" s="13">
        <v>0.42899999999999999</v>
      </c>
      <c r="AR70" s="21">
        <f>Tabela46[[#This Row],[Total of samples (N)]]*Tabela46[[#This Row],[Hispanic or Latino (%)]]</f>
        <v>3.99</v>
      </c>
      <c r="AS70" s="21">
        <f>Tabela46[[#This Row],[Total of samples (N)]]*Tabela46[[#This Row],[Not Hispanic or Latino (%)]]</f>
        <v>8.0009999999999994</v>
      </c>
      <c r="AT70" s="21">
        <f>Tabela46[[#This Row],[Total of samples (N)]]*Tabela46[[#This Row],[NA (%) ]]</f>
        <v>9.0090000000000003</v>
      </c>
      <c r="AU70" s="56">
        <v>21</v>
      </c>
      <c r="AV70" s="74" t="s">
        <v>50</v>
      </c>
      <c r="AW70" s="9" t="s">
        <v>393</v>
      </c>
      <c r="AX70" s="9" t="s">
        <v>472</v>
      </c>
      <c r="AY70" s="9" t="s">
        <v>20</v>
      </c>
      <c r="AZ70" s="60" t="s">
        <v>16</v>
      </c>
      <c r="BA70" s="10" t="s">
        <v>16</v>
      </c>
      <c r="BB70" s="10" t="s">
        <v>16</v>
      </c>
      <c r="BC70" s="10" t="s">
        <v>16</v>
      </c>
      <c r="BD70" s="10">
        <v>0.52400000000000002</v>
      </c>
      <c r="BE70" s="10">
        <v>0.47599999999999998</v>
      </c>
      <c r="BF70" s="10" t="s">
        <v>16</v>
      </c>
      <c r="BG70" s="21" t="s">
        <v>16</v>
      </c>
      <c r="BH70" s="21" t="s">
        <v>16</v>
      </c>
      <c r="BI70" s="21" t="s">
        <v>16</v>
      </c>
      <c r="BJ70" s="21" t="s">
        <v>16</v>
      </c>
      <c r="BK70" s="21">
        <f>Tabela46[[#This Row],[Total of samples (N)  2]]*Tabela46[[#This Row],[34 (%)]]</f>
        <v>11.004000000000001</v>
      </c>
      <c r="BL70" s="21">
        <f>Tabela46[[#This Row],[Total of samples (N)  2]]*Tabela46[[#This Row],[44 (%)]]</f>
        <v>9.9959999999999987</v>
      </c>
      <c r="BM70" s="21" t="s">
        <v>16</v>
      </c>
      <c r="BN70" s="56">
        <v>21</v>
      </c>
      <c r="BO70" s="68" t="s">
        <v>438</v>
      </c>
    </row>
    <row r="71" spans="1:67" x14ac:dyDescent="0.25">
      <c r="A71" s="5" t="s">
        <v>326</v>
      </c>
      <c r="B71" s="1" t="s">
        <v>379</v>
      </c>
      <c r="C71" s="72">
        <v>1396</v>
      </c>
      <c r="D71" s="11">
        <v>1373</v>
      </c>
      <c r="E71" s="58">
        <v>0.32400000000000001</v>
      </c>
      <c r="F71" s="13">
        <v>0.5</v>
      </c>
      <c r="G71" s="13">
        <v>0.13600000000000001</v>
      </c>
      <c r="H71" s="13">
        <v>3.9E-2</v>
      </c>
      <c r="I71" s="13" t="s">
        <v>16</v>
      </c>
      <c r="J71" s="13" t="s">
        <v>16</v>
      </c>
      <c r="K71" s="13" t="s">
        <v>16</v>
      </c>
      <c r="L71" s="13" t="s">
        <v>16</v>
      </c>
      <c r="M71" s="13" t="s">
        <v>16</v>
      </c>
      <c r="N71" s="13" t="s">
        <v>16</v>
      </c>
      <c r="O71" s="13" t="s">
        <v>16</v>
      </c>
      <c r="P71" s="13" t="s">
        <v>16</v>
      </c>
      <c r="Q71" s="13" t="s">
        <v>16</v>
      </c>
      <c r="R71" s="13" t="s">
        <v>16</v>
      </c>
      <c r="S71" s="13" t="s">
        <v>16</v>
      </c>
      <c r="T71" s="13" t="s">
        <v>16</v>
      </c>
      <c r="U71" s="13" t="s">
        <v>16</v>
      </c>
      <c r="V71" s="13" t="s">
        <v>16</v>
      </c>
      <c r="W71" s="13" t="s">
        <v>16</v>
      </c>
      <c r="X71" s="13" t="s">
        <v>16</v>
      </c>
      <c r="Y71" s="13" t="s">
        <v>16</v>
      </c>
      <c r="Z71" s="13" t="s">
        <v>16</v>
      </c>
      <c r="AA71" s="11">
        <v>1603</v>
      </c>
      <c r="AB71" s="58">
        <v>0.63100000000000001</v>
      </c>
      <c r="AC71" s="13">
        <v>0.36899999999999999</v>
      </c>
      <c r="AD71" s="21">
        <f>Tabela46[[#This Row],[Total of samples (N)  ]]*Tabela46[[#This Row],[Females (%)]]</f>
        <v>1011.4930000000001</v>
      </c>
      <c r="AE71" s="21">
        <f>Tabela46[[#This Row],[Total of samples (N)  ]]*AC71</f>
        <v>591.50699999999995</v>
      </c>
      <c r="AF71" s="55">
        <v>1603</v>
      </c>
      <c r="AG71" s="5">
        <v>1</v>
      </c>
      <c r="AH71" s="5" t="s">
        <v>16</v>
      </c>
      <c r="AI71" s="5">
        <v>225</v>
      </c>
      <c r="AJ71" s="5">
        <v>287</v>
      </c>
      <c r="AK71" s="5">
        <v>3</v>
      </c>
      <c r="AL71" s="11">
        <v>1065</v>
      </c>
      <c r="AM71" s="5">
        <v>19</v>
      </c>
      <c r="AN71" s="55">
        <v>1600</v>
      </c>
      <c r="AO71" s="13">
        <v>0.88100000000000001</v>
      </c>
      <c r="AP71" s="13">
        <v>0.11700000000000001</v>
      </c>
      <c r="AQ71" s="13">
        <v>2E-3</v>
      </c>
      <c r="AR71" s="21">
        <f>Tabela46[[#This Row],[Total of samples (N)]]*Tabela46[[#This Row],[Hispanic or Latino (%)]]</f>
        <v>1412.2429999999999</v>
      </c>
      <c r="AS71" s="21">
        <f>Tabela46[[#This Row],[Total of samples (N)]]*Tabela46[[#This Row],[Not Hispanic or Latino (%)]]</f>
        <v>187.55100000000002</v>
      </c>
      <c r="AT71" s="21">
        <f>Tabela46[[#This Row],[Total of samples (N)]]*Tabela46[[#This Row],[NA (%) ]]</f>
        <v>3.206</v>
      </c>
      <c r="AU71" s="55">
        <v>1603</v>
      </c>
      <c r="AV71" s="74" t="s">
        <v>50</v>
      </c>
      <c r="AW71" s="9" t="s">
        <v>393</v>
      </c>
      <c r="AX71" s="9" t="s">
        <v>465</v>
      </c>
      <c r="AY71" s="9" t="s">
        <v>20</v>
      </c>
      <c r="AZ71" s="60">
        <v>1.0999999999999999E-2</v>
      </c>
      <c r="BA71" s="10">
        <v>7.4999999999999997E-2</v>
      </c>
      <c r="BB71" s="10">
        <v>4.5999999999999999E-2</v>
      </c>
      <c r="BC71" s="10">
        <v>0.36599999999999999</v>
      </c>
      <c r="BD71" s="10">
        <v>0.374</v>
      </c>
      <c r="BE71" s="10">
        <v>0.129</v>
      </c>
      <c r="BF71" s="10" t="s">
        <v>16</v>
      </c>
      <c r="BG71" s="21">
        <f>Tabela46[[#This Row],[Total of samples (N)  2]]*Tabela46[[#This Row],[22 (%)]]</f>
        <v>17.632999999999999</v>
      </c>
      <c r="BH71" s="21">
        <f>Tabela46[[#This Row],[Total of samples (N)  2]]*Tabela46[[#This Row],[23 (%)]]</f>
        <v>120.22499999999999</v>
      </c>
      <c r="BI71" s="21">
        <f>Tabela46[[#This Row],[Total of samples (N)  2]]*Tabela46[[#This Row],[24 (%)]]</f>
        <v>73.738</v>
      </c>
      <c r="BJ71" s="21">
        <f>Tabela46[[#This Row],[Total of samples (N)  2]]*Tabela46[[#This Row],[33 (%)]]</f>
        <v>586.69799999999998</v>
      </c>
      <c r="BK71" s="21">
        <f>Tabela46[[#This Row],[Total of samples (N)  2]]*Tabela46[[#This Row],[34 (%)]]</f>
        <v>599.52200000000005</v>
      </c>
      <c r="BL71" s="21">
        <f>Tabela46[[#This Row],[Total of samples (N)  2]]*Tabela46[[#This Row],[44 (%)]]</f>
        <v>206.78700000000001</v>
      </c>
      <c r="BM71" s="21" t="s">
        <v>16</v>
      </c>
      <c r="BN71" s="55">
        <v>1603</v>
      </c>
      <c r="BO71" s="68" t="s">
        <v>369</v>
      </c>
    </row>
    <row r="72" spans="1:67" x14ac:dyDescent="0.25">
      <c r="A72" s="5" t="s">
        <v>327</v>
      </c>
      <c r="B72" s="1" t="s">
        <v>380</v>
      </c>
      <c r="C72" s="73">
        <v>999</v>
      </c>
      <c r="D72" s="5">
        <v>997</v>
      </c>
      <c r="E72" s="58">
        <v>0.54</v>
      </c>
      <c r="F72" s="13">
        <v>0.34899999999999998</v>
      </c>
      <c r="G72" s="13">
        <v>8.2000000000000003E-2</v>
      </c>
      <c r="H72" s="13">
        <v>2.9000000000000001E-2</v>
      </c>
      <c r="I72" s="13" t="s">
        <v>16</v>
      </c>
      <c r="J72" s="13" t="s">
        <v>16</v>
      </c>
      <c r="K72" s="13" t="s">
        <v>16</v>
      </c>
      <c r="L72" s="13" t="s">
        <v>16</v>
      </c>
      <c r="M72" s="13" t="s">
        <v>16</v>
      </c>
      <c r="N72" s="13" t="s">
        <v>16</v>
      </c>
      <c r="O72" s="13" t="s">
        <v>16</v>
      </c>
      <c r="P72" s="13" t="s">
        <v>16</v>
      </c>
      <c r="Q72" s="13" t="s">
        <v>16</v>
      </c>
      <c r="R72" s="13" t="s">
        <v>16</v>
      </c>
      <c r="S72" s="13" t="s">
        <v>16</v>
      </c>
      <c r="T72" s="13" t="s">
        <v>16</v>
      </c>
      <c r="U72" s="13" t="s">
        <v>16</v>
      </c>
      <c r="V72" s="13" t="s">
        <v>16</v>
      </c>
      <c r="W72" s="13" t="s">
        <v>16</v>
      </c>
      <c r="X72" s="13" t="s">
        <v>16</v>
      </c>
      <c r="Y72" s="13" t="s">
        <v>16</v>
      </c>
      <c r="Z72" s="13" t="s">
        <v>16</v>
      </c>
      <c r="AA72" s="5">
        <v>997</v>
      </c>
      <c r="AB72" s="58">
        <v>0.61799999999999999</v>
      </c>
      <c r="AC72" s="13">
        <v>0.38200000000000001</v>
      </c>
      <c r="AD72" s="21">
        <f>Tabela46[[#This Row],[Total of samples (N)  ]]*Tabela46[[#This Row],[Females (%)]]</f>
        <v>616.14599999999996</v>
      </c>
      <c r="AE72" s="21">
        <f>Tabela46[[#This Row],[Total of samples (N)  ]]*AC72</f>
        <v>380.85399999999998</v>
      </c>
      <c r="AF72" s="56">
        <v>997</v>
      </c>
      <c r="AG72" s="5">
        <v>8</v>
      </c>
      <c r="AH72" s="5">
        <v>16</v>
      </c>
      <c r="AI72" s="5">
        <v>93</v>
      </c>
      <c r="AJ72" s="5">
        <v>872</v>
      </c>
      <c r="AK72" s="5" t="s">
        <v>16</v>
      </c>
      <c r="AL72" s="5">
        <v>3</v>
      </c>
      <c r="AM72" s="5">
        <v>5</v>
      </c>
      <c r="AN72" s="56">
        <v>997</v>
      </c>
      <c r="AO72" s="13">
        <v>1.7999999999999999E-2</v>
      </c>
      <c r="AP72" s="13">
        <v>0.97699999999999998</v>
      </c>
      <c r="AQ72" s="13">
        <v>5.0000000000000001E-3</v>
      </c>
      <c r="AR72" s="21">
        <f>Tabela46[[#This Row],[Total of samples (N)]]*Tabela46[[#This Row],[Hispanic or Latino (%)]]</f>
        <v>17.945999999999998</v>
      </c>
      <c r="AS72" s="21">
        <f>Tabela46[[#This Row],[Total of samples (N)]]*Tabela46[[#This Row],[Not Hispanic or Latino (%)]]</f>
        <v>974.06899999999996</v>
      </c>
      <c r="AT72" s="21">
        <f>Tabela46[[#This Row],[Total of samples (N)]]*Tabela46[[#This Row],[NA (%) ]]</f>
        <v>4.9850000000000003</v>
      </c>
      <c r="AU72" s="56">
        <v>997</v>
      </c>
      <c r="AV72" s="74" t="s">
        <v>50</v>
      </c>
      <c r="AW72" s="9" t="s">
        <v>393</v>
      </c>
      <c r="AX72" s="9" t="s">
        <v>462</v>
      </c>
      <c r="AY72" s="9"/>
      <c r="AZ72" s="60" t="s">
        <v>16</v>
      </c>
      <c r="BA72" s="10">
        <v>3.6999999999999998E-2</v>
      </c>
      <c r="BB72" s="10">
        <v>0.02</v>
      </c>
      <c r="BC72" s="10">
        <v>0.29199999999999998</v>
      </c>
      <c r="BD72" s="10">
        <v>0.41299999999999998</v>
      </c>
      <c r="BE72" s="10">
        <v>0.191</v>
      </c>
      <c r="BF72" s="10">
        <v>4.7E-2</v>
      </c>
      <c r="BG72" s="21" t="s">
        <v>16</v>
      </c>
      <c r="BH72" s="21">
        <f>Tabela46[[#This Row],[Total of samples (N)  2]]*Tabela46[[#This Row],[23 (%)]]</f>
        <v>36.888999999999996</v>
      </c>
      <c r="BI72" s="21">
        <f>Tabela46[[#This Row],[Total of samples (N)  2]]*Tabela46[[#This Row],[24 (%)]]</f>
        <v>19.940000000000001</v>
      </c>
      <c r="BJ72" s="21">
        <f>Tabela46[[#This Row],[Total of samples (N)  2]]*Tabela46[[#This Row],[33 (%)]]</f>
        <v>291.12399999999997</v>
      </c>
      <c r="BK72" s="21">
        <f>Tabela46[[#This Row],[Total of samples (N)  2]]*Tabela46[[#This Row],[34 (%)]]</f>
        <v>411.76099999999997</v>
      </c>
      <c r="BL72" s="21">
        <f>Tabela46[[#This Row],[Total of samples (N)  2]]*Tabela46[[#This Row],[44 (%)]]</f>
        <v>190.42699999999999</v>
      </c>
      <c r="BM72" s="21">
        <f>Tabela46[[#This Row],[Total of samples (N)  2]]*Tabela46[[#This Row],[NA (%)]]</f>
        <v>46.859000000000002</v>
      </c>
      <c r="BN72" s="56">
        <v>997</v>
      </c>
      <c r="BO72" s="68" t="s">
        <v>369</v>
      </c>
    </row>
    <row r="73" spans="1:67" x14ac:dyDescent="0.25">
      <c r="A73" s="5" t="s">
        <v>328</v>
      </c>
      <c r="B73" s="1" t="s">
        <v>381</v>
      </c>
      <c r="C73" s="73">
        <v>237</v>
      </c>
      <c r="D73" s="5">
        <v>232</v>
      </c>
      <c r="E73" s="58">
        <v>3.9E-2</v>
      </c>
      <c r="F73" s="13">
        <v>0.81899999999999995</v>
      </c>
      <c r="G73" s="13" t="s">
        <v>16</v>
      </c>
      <c r="H73" s="13">
        <v>0.14199999999999999</v>
      </c>
      <c r="I73" s="13" t="s">
        <v>16</v>
      </c>
      <c r="J73" s="13" t="s">
        <v>16</v>
      </c>
      <c r="K73" s="13" t="s">
        <v>16</v>
      </c>
      <c r="L73" s="13" t="s">
        <v>16</v>
      </c>
      <c r="M73" s="13" t="s">
        <v>16</v>
      </c>
      <c r="N73" s="13" t="s">
        <v>16</v>
      </c>
      <c r="O73" s="13" t="s">
        <v>16</v>
      </c>
      <c r="P73" s="13" t="s">
        <v>16</v>
      </c>
      <c r="Q73" s="13" t="s">
        <v>16</v>
      </c>
      <c r="R73" s="13" t="s">
        <v>16</v>
      </c>
      <c r="S73" s="13" t="s">
        <v>16</v>
      </c>
      <c r="T73" s="13" t="s">
        <v>16</v>
      </c>
      <c r="U73" s="13" t="s">
        <v>16</v>
      </c>
      <c r="V73" s="13" t="s">
        <v>16</v>
      </c>
      <c r="W73" s="13" t="s">
        <v>16</v>
      </c>
      <c r="X73" s="13" t="s">
        <v>16</v>
      </c>
      <c r="Y73" s="13" t="s">
        <v>16</v>
      </c>
      <c r="Z73" s="13" t="s">
        <v>16</v>
      </c>
      <c r="AA73" s="5">
        <v>232</v>
      </c>
      <c r="AB73" s="58">
        <v>0.74099999999999999</v>
      </c>
      <c r="AC73" s="13">
        <v>0.25900000000000001</v>
      </c>
      <c r="AD73" s="21">
        <f>Tabela46[[#This Row],[Total of samples (N)  ]]*Tabela46[[#This Row],[Females (%)]]</f>
        <v>171.91200000000001</v>
      </c>
      <c r="AE73" s="21">
        <f>Tabela46[[#This Row],[Total of samples (N)  ]]*AC73</f>
        <v>60.088000000000001</v>
      </c>
      <c r="AF73" s="56">
        <v>232</v>
      </c>
      <c r="AG73" s="5" t="s">
        <v>16</v>
      </c>
      <c r="AH73" s="5" t="s">
        <v>16</v>
      </c>
      <c r="AI73" s="5">
        <v>169</v>
      </c>
      <c r="AJ73" s="5">
        <v>15</v>
      </c>
      <c r="AK73" s="5" t="s">
        <v>16</v>
      </c>
      <c r="AL73" s="5">
        <v>48</v>
      </c>
      <c r="AM73" s="5" t="s">
        <v>16</v>
      </c>
      <c r="AN73" s="56">
        <v>232</v>
      </c>
      <c r="AO73" s="13">
        <v>0.20699999999999999</v>
      </c>
      <c r="AP73" s="13">
        <v>0.79300000000000004</v>
      </c>
      <c r="AQ73" s="13" t="s">
        <v>16</v>
      </c>
      <c r="AR73" s="21">
        <f>Tabela46[[#This Row],[Total of samples (N)]]*Tabela46[[#This Row],[Hispanic or Latino (%)]]</f>
        <v>48.024000000000001</v>
      </c>
      <c r="AS73" s="21">
        <f>Tabela46[[#This Row],[Total of samples (N)]]*Tabela46[[#This Row],[Not Hispanic or Latino (%)]]</f>
        <v>183.976</v>
      </c>
      <c r="AT73" s="21" t="s">
        <v>16</v>
      </c>
      <c r="AU73" s="56">
        <v>232</v>
      </c>
      <c r="AV73" s="74" t="s">
        <v>50</v>
      </c>
      <c r="AW73" s="9" t="s">
        <v>393</v>
      </c>
      <c r="AX73" s="9" t="s">
        <v>466</v>
      </c>
      <c r="AY73" s="9" t="s">
        <v>16</v>
      </c>
      <c r="AZ73" s="60">
        <v>4.2999999999999997E-2</v>
      </c>
      <c r="BA73" s="10">
        <v>0.125</v>
      </c>
      <c r="BB73" s="10">
        <v>0.10299999999999999</v>
      </c>
      <c r="BC73" s="10">
        <v>0.32300000000000001</v>
      </c>
      <c r="BD73" s="10">
        <v>0.33600000000000002</v>
      </c>
      <c r="BE73" s="10">
        <v>6.9000000000000006E-2</v>
      </c>
      <c r="BF73" s="10" t="s">
        <v>16</v>
      </c>
      <c r="BG73" s="21">
        <f>Tabela46[[#This Row],[Total of samples (N)  2]]*Tabela46[[#This Row],[22 (%)]]</f>
        <v>9.9759999999999991</v>
      </c>
      <c r="BH73" s="21">
        <f>Tabela46[[#This Row],[Total of samples (N)  2]]*Tabela46[[#This Row],[23 (%)]]</f>
        <v>29</v>
      </c>
      <c r="BI73" s="21">
        <f>Tabela46[[#This Row],[Total of samples (N)  2]]*Tabela46[[#This Row],[24 (%)]]</f>
        <v>23.895999999999997</v>
      </c>
      <c r="BJ73" s="21">
        <f>Tabela46[[#This Row],[Total of samples (N)  2]]*Tabela46[[#This Row],[33 (%)]]</f>
        <v>74.936000000000007</v>
      </c>
      <c r="BK73" s="21">
        <f>Tabela46[[#This Row],[Total of samples (N)  2]]*Tabela46[[#This Row],[34 (%)]]</f>
        <v>77.951999999999998</v>
      </c>
      <c r="BL73" s="21">
        <f>Tabela46[[#This Row],[Total of samples (N)  2]]*Tabela46[[#This Row],[44 (%)]]</f>
        <v>16.008000000000003</v>
      </c>
      <c r="BM73" s="21" t="s">
        <v>16</v>
      </c>
      <c r="BN73" s="56">
        <v>232</v>
      </c>
      <c r="BO73" s="68" t="s">
        <v>369</v>
      </c>
    </row>
    <row r="74" spans="1:67" x14ac:dyDescent="0.25">
      <c r="A74" s="5" t="s">
        <v>329</v>
      </c>
      <c r="B74" s="1" t="s">
        <v>205</v>
      </c>
      <c r="C74" s="73">
        <v>769</v>
      </c>
      <c r="D74" s="5" t="s">
        <v>16</v>
      </c>
      <c r="E74" s="58">
        <v>0.33300000000000002</v>
      </c>
      <c r="F74" s="13">
        <v>0.65800000000000003</v>
      </c>
      <c r="G74" s="13" t="s">
        <v>16</v>
      </c>
      <c r="H74" s="13">
        <v>8.9999999999999993E-3</v>
      </c>
      <c r="I74" s="13" t="s">
        <v>16</v>
      </c>
      <c r="J74" s="13" t="s">
        <v>16</v>
      </c>
      <c r="K74" s="13" t="s">
        <v>16</v>
      </c>
      <c r="L74" s="13" t="s">
        <v>16</v>
      </c>
      <c r="M74" s="13" t="s">
        <v>16</v>
      </c>
      <c r="N74" s="13" t="s">
        <v>16</v>
      </c>
      <c r="O74" s="13" t="s">
        <v>16</v>
      </c>
      <c r="P74" s="13" t="s">
        <v>16</v>
      </c>
      <c r="Q74" s="13" t="s">
        <v>16</v>
      </c>
      <c r="R74" s="13" t="s">
        <v>16</v>
      </c>
      <c r="S74" s="13" t="s">
        <v>16</v>
      </c>
      <c r="T74" s="13" t="s">
        <v>16</v>
      </c>
      <c r="U74" s="13" t="s">
        <v>16</v>
      </c>
      <c r="V74" s="13" t="s">
        <v>16</v>
      </c>
      <c r="W74" s="13" t="s">
        <v>16</v>
      </c>
      <c r="X74" s="13" t="s">
        <v>16</v>
      </c>
      <c r="Y74" s="13" t="s">
        <v>16</v>
      </c>
      <c r="Z74" s="13" t="s">
        <v>16</v>
      </c>
      <c r="AA74" s="5">
        <v>769</v>
      </c>
      <c r="AB74" s="58" t="s">
        <v>16</v>
      </c>
      <c r="AC74" s="13" t="s">
        <v>16</v>
      </c>
      <c r="AD74" s="21" t="s">
        <v>16</v>
      </c>
      <c r="AE74" s="21" t="s">
        <v>16</v>
      </c>
      <c r="AF74" s="56" t="s">
        <v>16</v>
      </c>
      <c r="AG74" s="5" t="s">
        <v>16</v>
      </c>
      <c r="AH74" s="5" t="s">
        <v>16</v>
      </c>
      <c r="AI74" s="5" t="s">
        <v>16</v>
      </c>
      <c r="AJ74" s="5" t="s">
        <v>16</v>
      </c>
      <c r="AK74" s="5" t="s">
        <v>16</v>
      </c>
      <c r="AL74" s="5" t="s">
        <v>16</v>
      </c>
      <c r="AM74" s="5" t="s">
        <v>16</v>
      </c>
      <c r="AN74" s="56" t="s">
        <v>16</v>
      </c>
      <c r="AO74" s="13" t="s">
        <v>16</v>
      </c>
      <c r="AP74" s="13" t="s">
        <v>16</v>
      </c>
      <c r="AQ74" s="13" t="s">
        <v>16</v>
      </c>
      <c r="AR74" s="21" t="s">
        <v>16</v>
      </c>
      <c r="AS74" s="21" t="s">
        <v>16</v>
      </c>
      <c r="AT74" s="21" t="s">
        <v>16</v>
      </c>
      <c r="AU74" s="56" t="s">
        <v>16</v>
      </c>
      <c r="AV74" s="74" t="s">
        <v>427</v>
      </c>
      <c r="AW74" s="9" t="s">
        <v>428</v>
      </c>
      <c r="AX74" s="9" t="s">
        <v>20</v>
      </c>
      <c r="AY74" s="9" t="s">
        <v>20</v>
      </c>
      <c r="AZ74" s="60">
        <v>5.0000000000000001E-3</v>
      </c>
      <c r="BA74" s="10">
        <v>9.9000000000000005E-2</v>
      </c>
      <c r="BB74" s="10">
        <v>2.9000000000000001E-2</v>
      </c>
      <c r="BC74" s="10">
        <v>0.495</v>
      </c>
      <c r="BD74" s="10">
        <v>0.28699999999999998</v>
      </c>
      <c r="BE74" s="10">
        <v>5.8999999999999997E-2</v>
      </c>
      <c r="BF74" s="10">
        <v>2.5999999999999999E-2</v>
      </c>
      <c r="BG74" s="21">
        <f>Tabela46[[#This Row],[Total of samples (N)  2]]*Tabela46[[#This Row],[22 (%)]]</f>
        <v>3.8450000000000002</v>
      </c>
      <c r="BH74" s="21">
        <f>Tabela46[[#This Row],[Total of samples (N)  2]]*Tabela46[[#This Row],[23 (%)]]</f>
        <v>76.131</v>
      </c>
      <c r="BI74" s="21">
        <f>Tabela46[[#This Row],[Total of samples (N)  2]]*Tabela46[[#This Row],[24 (%)]]</f>
        <v>22.301000000000002</v>
      </c>
      <c r="BJ74" s="21">
        <f>Tabela46[[#This Row],[Total of samples (N)  2]]*Tabela46[[#This Row],[33 (%)]]</f>
        <v>380.65499999999997</v>
      </c>
      <c r="BK74" s="21">
        <f>Tabela46[[#This Row],[Total of samples (N)  2]]*Tabela46[[#This Row],[34 (%)]]</f>
        <v>220.70299999999997</v>
      </c>
      <c r="BL74" s="21">
        <f>Tabela46[[#This Row],[Total of samples (N)  2]]*Tabela46[[#This Row],[44 (%)]]</f>
        <v>45.370999999999995</v>
      </c>
      <c r="BM74" s="21">
        <f>Tabela46[[#This Row],[Total of samples (N)  2]]*Tabela46[[#This Row],[NA (%)]]</f>
        <v>19.994</v>
      </c>
      <c r="BN74" s="56">
        <v>769</v>
      </c>
      <c r="BO74" s="68" t="s">
        <v>20</v>
      </c>
    </row>
    <row r="75" spans="1:67" x14ac:dyDescent="0.25">
      <c r="A75" s="5" t="s">
        <v>330</v>
      </c>
      <c r="B75" s="1" t="s">
        <v>207</v>
      </c>
      <c r="C75" s="73">
        <v>50</v>
      </c>
      <c r="D75" s="5" t="s">
        <v>20</v>
      </c>
      <c r="E75" s="58" t="s">
        <v>16</v>
      </c>
      <c r="F75" s="13" t="s">
        <v>16</v>
      </c>
      <c r="G75" s="13" t="s">
        <v>16</v>
      </c>
      <c r="H75" s="13" t="s">
        <v>16</v>
      </c>
      <c r="I75" s="13" t="s">
        <v>16</v>
      </c>
      <c r="J75" s="13" t="s">
        <v>16</v>
      </c>
      <c r="K75" s="13" t="s">
        <v>16</v>
      </c>
      <c r="L75" s="13" t="s">
        <v>16</v>
      </c>
      <c r="M75" s="13" t="s">
        <v>16</v>
      </c>
      <c r="N75" s="13" t="s">
        <v>16</v>
      </c>
      <c r="O75" s="13" t="s">
        <v>16</v>
      </c>
      <c r="P75" s="13" t="s">
        <v>16</v>
      </c>
      <c r="Q75" s="13" t="s">
        <v>16</v>
      </c>
      <c r="R75" s="13" t="s">
        <v>16</v>
      </c>
      <c r="S75" s="13" t="s">
        <v>16</v>
      </c>
      <c r="T75" s="13" t="s">
        <v>16</v>
      </c>
      <c r="U75" s="13" t="s">
        <v>16</v>
      </c>
      <c r="V75" s="13">
        <v>0.4</v>
      </c>
      <c r="W75" s="13">
        <v>0.6</v>
      </c>
      <c r="X75" s="13" t="s">
        <v>16</v>
      </c>
      <c r="Y75" s="13" t="s">
        <v>16</v>
      </c>
      <c r="Z75" s="13" t="s">
        <v>16</v>
      </c>
      <c r="AA75" s="5">
        <v>50</v>
      </c>
      <c r="AB75" s="58">
        <v>0.6</v>
      </c>
      <c r="AC75" s="13">
        <v>0.4</v>
      </c>
      <c r="AD75" s="21">
        <f>Tabela46[[#This Row],[Total of samples (N)  ]]*Tabela46[[#This Row],[Females (%)]]</f>
        <v>30</v>
      </c>
      <c r="AE75" s="21">
        <f>Tabela46[[#This Row],[Total of samples (N)  ]]*AC75</f>
        <v>20</v>
      </c>
      <c r="AF75" s="56">
        <v>50</v>
      </c>
      <c r="AG75" s="5" t="s">
        <v>16</v>
      </c>
      <c r="AH75" s="5" t="s">
        <v>16</v>
      </c>
      <c r="AI75" s="5" t="s">
        <v>16</v>
      </c>
      <c r="AJ75" s="5" t="s">
        <v>16</v>
      </c>
      <c r="AK75" s="5" t="s">
        <v>16</v>
      </c>
      <c r="AL75" s="5" t="s">
        <v>16</v>
      </c>
      <c r="AM75" s="5" t="s">
        <v>16</v>
      </c>
      <c r="AN75" s="56" t="s">
        <v>16</v>
      </c>
      <c r="AO75" s="13" t="s">
        <v>16</v>
      </c>
      <c r="AP75" s="13" t="s">
        <v>16</v>
      </c>
      <c r="AQ75" s="13" t="s">
        <v>16</v>
      </c>
      <c r="AR75" s="21" t="s">
        <v>16</v>
      </c>
      <c r="AS75" s="21" t="s">
        <v>16</v>
      </c>
      <c r="AT75" s="21" t="s">
        <v>16</v>
      </c>
      <c r="AU75" s="56" t="s">
        <v>16</v>
      </c>
      <c r="AV75" s="74" t="s">
        <v>473</v>
      </c>
      <c r="AW75" s="9" t="s">
        <v>474</v>
      </c>
      <c r="AX75" s="9" t="s">
        <v>20</v>
      </c>
      <c r="AY75" s="9" t="s">
        <v>20</v>
      </c>
      <c r="AZ75" s="60" t="s">
        <v>16</v>
      </c>
      <c r="BA75" s="10">
        <v>0.04</v>
      </c>
      <c r="BB75" s="10">
        <v>0.04</v>
      </c>
      <c r="BC75" s="10">
        <v>0.48</v>
      </c>
      <c r="BD75" s="10">
        <v>0.38</v>
      </c>
      <c r="BE75" s="10">
        <v>0.06</v>
      </c>
      <c r="BF75" s="10" t="s">
        <v>16</v>
      </c>
      <c r="BG75" s="21" t="s">
        <v>16</v>
      </c>
      <c r="BH75" s="21">
        <f>Tabela46[[#This Row],[Total of samples (N)  2]]*Tabela46[[#This Row],[23 (%)]]</f>
        <v>2</v>
      </c>
      <c r="BI75" s="21">
        <f>Tabela46[[#This Row],[Total of samples (N)  2]]*Tabela46[[#This Row],[24 (%)]]</f>
        <v>2</v>
      </c>
      <c r="BJ75" s="21">
        <f>Tabela46[[#This Row],[Total of samples (N)  2]]*Tabela46[[#This Row],[33 (%)]]</f>
        <v>24</v>
      </c>
      <c r="BK75" s="21">
        <f>Tabela46[[#This Row],[Total of samples (N)  2]]*Tabela46[[#This Row],[34 (%)]]</f>
        <v>19</v>
      </c>
      <c r="BL75" s="21">
        <f>Tabela46[[#This Row],[Total of samples (N)  2]]*Tabela46[[#This Row],[44 (%)]]</f>
        <v>3</v>
      </c>
      <c r="BM75" s="21" t="s">
        <v>16</v>
      </c>
      <c r="BN75" s="56">
        <v>50</v>
      </c>
      <c r="BO75" s="68" t="s">
        <v>20</v>
      </c>
    </row>
    <row r="76" spans="1:67" x14ac:dyDescent="0.25">
      <c r="A76" s="5" t="s">
        <v>331</v>
      </c>
      <c r="B76" s="1" t="s">
        <v>412</v>
      </c>
      <c r="C76" s="72">
        <v>2762</v>
      </c>
      <c r="D76" s="11">
        <v>2620</v>
      </c>
      <c r="E76" s="58" t="s">
        <v>16</v>
      </c>
      <c r="F76" s="13" t="s">
        <v>16</v>
      </c>
      <c r="G76" s="13" t="s">
        <v>16</v>
      </c>
      <c r="H76" s="13" t="s">
        <v>16</v>
      </c>
      <c r="I76" s="13" t="s">
        <v>16</v>
      </c>
      <c r="J76" s="13" t="s">
        <v>16</v>
      </c>
      <c r="K76" s="13" t="s">
        <v>16</v>
      </c>
      <c r="L76" s="13" t="s">
        <v>16</v>
      </c>
      <c r="M76" s="13" t="s">
        <v>16</v>
      </c>
      <c r="N76" s="13" t="s">
        <v>16</v>
      </c>
      <c r="O76" s="13" t="s">
        <v>16</v>
      </c>
      <c r="P76" s="13" t="s">
        <v>16</v>
      </c>
      <c r="Q76" s="13" t="s">
        <v>16</v>
      </c>
      <c r="R76" s="13" t="s">
        <v>16</v>
      </c>
      <c r="S76" s="13" t="s">
        <v>16</v>
      </c>
      <c r="T76" s="13" t="s">
        <v>16</v>
      </c>
      <c r="U76" s="13" t="s">
        <v>16</v>
      </c>
      <c r="V76" s="13" t="s">
        <v>16</v>
      </c>
      <c r="W76" s="13" t="s">
        <v>16</v>
      </c>
      <c r="X76" s="13" t="s">
        <v>16</v>
      </c>
      <c r="Y76" s="13" t="s">
        <v>16</v>
      </c>
      <c r="Z76" s="13" t="s">
        <v>16</v>
      </c>
      <c r="AA76" s="10" t="s">
        <v>16</v>
      </c>
      <c r="AB76" s="58" t="s">
        <v>16</v>
      </c>
      <c r="AC76" s="13" t="s">
        <v>16</v>
      </c>
      <c r="AD76" s="21" t="s">
        <v>16</v>
      </c>
      <c r="AE76" s="21" t="s">
        <v>16</v>
      </c>
      <c r="AF76" s="57" t="s">
        <v>16</v>
      </c>
      <c r="AG76" s="10" t="s">
        <v>16</v>
      </c>
      <c r="AH76" s="10" t="s">
        <v>16</v>
      </c>
      <c r="AI76" s="10" t="s">
        <v>16</v>
      </c>
      <c r="AJ76" s="10" t="s">
        <v>16</v>
      </c>
      <c r="AK76" s="10" t="s">
        <v>16</v>
      </c>
      <c r="AL76" s="10" t="s">
        <v>16</v>
      </c>
      <c r="AM76" s="10" t="s">
        <v>16</v>
      </c>
      <c r="AN76" s="57" t="s">
        <v>16</v>
      </c>
      <c r="AO76" s="13" t="s">
        <v>16</v>
      </c>
      <c r="AP76" s="13" t="s">
        <v>16</v>
      </c>
      <c r="AQ76" s="13" t="s">
        <v>16</v>
      </c>
      <c r="AR76" s="21" t="s">
        <v>16</v>
      </c>
      <c r="AS76" s="21" t="s">
        <v>16</v>
      </c>
      <c r="AT76" s="21" t="s">
        <v>16</v>
      </c>
      <c r="AU76" s="57" t="s">
        <v>16</v>
      </c>
      <c r="AV76" s="74" t="s">
        <v>50</v>
      </c>
      <c r="AW76" s="9" t="s">
        <v>20</v>
      </c>
      <c r="AX76" s="9" t="s">
        <v>20</v>
      </c>
      <c r="AY76" s="9" t="s">
        <v>20</v>
      </c>
      <c r="AZ76" s="60" t="s">
        <v>16</v>
      </c>
      <c r="BA76" s="10" t="s">
        <v>16</v>
      </c>
      <c r="BB76" s="10" t="s">
        <v>16</v>
      </c>
      <c r="BC76" s="10" t="s">
        <v>16</v>
      </c>
      <c r="BD76" s="10" t="s">
        <v>16</v>
      </c>
      <c r="BE76" s="10" t="s">
        <v>16</v>
      </c>
      <c r="BF76" s="10" t="s">
        <v>16</v>
      </c>
      <c r="BG76" s="21" t="s">
        <v>16</v>
      </c>
      <c r="BH76" s="21" t="s">
        <v>16</v>
      </c>
      <c r="BI76" s="21" t="s">
        <v>16</v>
      </c>
      <c r="BJ76" s="21" t="s">
        <v>16</v>
      </c>
      <c r="BK76" s="21" t="s">
        <v>16</v>
      </c>
      <c r="BL76" s="21" t="s">
        <v>16</v>
      </c>
      <c r="BM76" s="21" t="s">
        <v>16</v>
      </c>
      <c r="BN76" s="57" t="s">
        <v>16</v>
      </c>
      <c r="BO76" s="69" t="s">
        <v>16</v>
      </c>
    </row>
    <row r="77" spans="1:67" x14ac:dyDescent="0.25">
      <c r="A77" s="5" t="s">
        <v>332</v>
      </c>
      <c r="B77" s="1" t="s">
        <v>413</v>
      </c>
      <c r="C77" s="73">
        <v>298</v>
      </c>
      <c r="D77" s="5" t="s">
        <v>20</v>
      </c>
      <c r="E77" s="58" t="s">
        <v>16</v>
      </c>
      <c r="F77" s="13" t="s">
        <v>16</v>
      </c>
      <c r="G77" s="13" t="s">
        <v>16</v>
      </c>
      <c r="H77" s="13" t="s">
        <v>16</v>
      </c>
      <c r="I77" s="13" t="s">
        <v>16</v>
      </c>
      <c r="J77" s="13" t="s">
        <v>16</v>
      </c>
      <c r="K77" s="13" t="s">
        <v>16</v>
      </c>
      <c r="L77" s="13" t="s">
        <v>16</v>
      </c>
      <c r="M77" s="13" t="s">
        <v>16</v>
      </c>
      <c r="N77" s="13">
        <v>0.92300000000000004</v>
      </c>
      <c r="O77" s="13">
        <v>7.6999999999999999E-2</v>
      </c>
      <c r="P77" s="13" t="s">
        <v>16</v>
      </c>
      <c r="Q77" s="13" t="s">
        <v>16</v>
      </c>
      <c r="R77" s="13" t="s">
        <v>16</v>
      </c>
      <c r="S77" s="13" t="s">
        <v>16</v>
      </c>
      <c r="T77" s="13" t="s">
        <v>16</v>
      </c>
      <c r="U77" s="13" t="s">
        <v>16</v>
      </c>
      <c r="V77" s="13" t="s">
        <v>16</v>
      </c>
      <c r="W77" s="13" t="s">
        <v>16</v>
      </c>
      <c r="X77" s="13" t="s">
        <v>16</v>
      </c>
      <c r="Y77" s="13" t="s">
        <v>16</v>
      </c>
      <c r="Z77" s="13" t="s">
        <v>16</v>
      </c>
      <c r="AA77" s="5">
        <v>298</v>
      </c>
      <c r="AB77" s="58">
        <v>0.59099999999999997</v>
      </c>
      <c r="AC77" s="13">
        <v>0.40899999999999997</v>
      </c>
      <c r="AD77" s="21">
        <f>Tabela46[[#This Row],[Total of samples (N)  ]]*Tabela46[[#This Row],[Females (%)]]</f>
        <v>176.11799999999999</v>
      </c>
      <c r="AE77" s="21">
        <f>Tabela46[[#This Row],[Total of samples (N)  ]]*AC77</f>
        <v>121.88199999999999</v>
      </c>
      <c r="AF77" s="56">
        <v>298</v>
      </c>
      <c r="AG77" s="5" t="s">
        <v>16</v>
      </c>
      <c r="AH77" s="5">
        <v>1</v>
      </c>
      <c r="AI77" s="5">
        <v>8</v>
      </c>
      <c r="AJ77" s="5">
        <v>289</v>
      </c>
      <c r="AK77" s="5" t="s">
        <v>16</v>
      </c>
      <c r="AL77" s="5" t="s">
        <v>16</v>
      </c>
      <c r="AM77" s="5" t="s">
        <v>16</v>
      </c>
      <c r="AN77" s="56">
        <v>298</v>
      </c>
      <c r="AO77" s="13" t="s">
        <v>16</v>
      </c>
      <c r="AP77" s="13" t="s">
        <v>16</v>
      </c>
      <c r="AQ77" s="13" t="s">
        <v>16</v>
      </c>
      <c r="AR77" s="21" t="s">
        <v>16</v>
      </c>
      <c r="AS77" s="21" t="s">
        <v>16</v>
      </c>
      <c r="AT77" s="21" t="s">
        <v>16</v>
      </c>
      <c r="AU77" s="57" t="s">
        <v>16</v>
      </c>
      <c r="AV77" s="74" t="s">
        <v>467</v>
      </c>
      <c r="AW77" s="9" t="s">
        <v>477</v>
      </c>
      <c r="AX77" s="9" t="s">
        <v>20</v>
      </c>
      <c r="AY77" s="9" t="s">
        <v>249</v>
      </c>
      <c r="AZ77" s="60" t="s">
        <v>16</v>
      </c>
      <c r="BA77" s="10" t="s">
        <v>16</v>
      </c>
      <c r="BB77" s="10" t="s">
        <v>16</v>
      </c>
      <c r="BC77" s="10" t="s">
        <v>16</v>
      </c>
      <c r="BD77" s="10" t="s">
        <v>16</v>
      </c>
      <c r="BE77" s="10" t="s">
        <v>16</v>
      </c>
      <c r="BF77" s="10" t="s">
        <v>16</v>
      </c>
      <c r="BG77" s="21" t="s">
        <v>16</v>
      </c>
      <c r="BH77" s="21" t="s">
        <v>16</v>
      </c>
      <c r="BI77" s="21" t="s">
        <v>16</v>
      </c>
      <c r="BJ77" s="21" t="s">
        <v>16</v>
      </c>
      <c r="BK77" s="21" t="s">
        <v>16</v>
      </c>
      <c r="BL77" s="21" t="s">
        <v>16</v>
      </c>
      <c r="BM77" s="21" t="s">
        <v>16</v>
      </c>
      <c r="BN77" s="57" t="s">
        <v>16</v>
      </c>
      <c r="BO77" s="68" t="s">
        <v>20</v>
      </c>
    </row>
    <row r="78" spans="1:67" x14ac:dyDescent="0.25">
      <c r="A78" s="5" t="s">
        <v>333</v>
      </c>
      <c r="B78" s="1" t="s">
        <v>414</v>
      </c>
      <c r="C78" s="73">
        <v>130</v>
      </c>
      <c r="D78" s="5" t="s">
        <v>20</v>
      </c>
      <c r="E78" s="58" t="s">
        <v>16</v>
      </c>
      <c r="F78" s="13" t="s">
        <v>16</v>
      </c>
      <c r="G78" s="13" t="s">
        <v>16</v>
      </c>
      <c r="H78" s="13" t="s">
        <v>16</v>
      </c>
      <c r="I78" s="13" t="s">
        <v>16</v>
      </c>
      <c r="J78" s="13" t="s">
        <v>16</v>
      </c>
      <c r="K78" s="13" t="s">
        <v>16</v>
      </c>
      <c r="L78" s="13" t="s">
        <v>16</v>
      </c>
      <c r="M78" s="13" t="s">
        <v>16</v>
      </c>
      <c r="N78" s="13">
        <v>0.81</v>
      </c>
      <c r="O78" s="13">
        <v>0.19</v>
      </c>
      <c r="P78" s="13" t="s">
        <v>16</v>
      </c>
      <c r="Q78" s="13" t="s">
        <v>16</v>
      </c>
      <c r="R78" s="13" t="s">
        <v>16</v>
      </c>
      <c r="S78" s="13" t="s">
        <v>16</v>
      </c>
      <c r="T78" s="13" t="s">
        <v>16</v>
      </c>
      <c r="U78" s="13" t="s">
        <v>16</v>
      </c>
      <c r="V78" s="13" t="s">
        <v>16</v>
      </c>
      <c r="W78" s="13" t="s">
        <v>16</v>
      </c>
      <c r="X78" s="13" t="s">
        <v>16</v>
      </c>
      <c r="Y78" s="13" t="s">
        <v>16</v>
      </c>
      <c r="Z78" s="13" t="s">
        <v>16</v>
      </c>
      <c r="AA78" s="5">
        <v>168</v>
      </c>
      <c r="AB78" s="58">
        <v>0.48199999999999998</v>
      </c>
      <c r="AC78" s="13">
        <v>0.51800000000000002</v>
      </c>
      <c r="AD78" s="21">
        <f>Tabela46[[#This Row],[Total of samples (N)  ]]*Tabela46[[#This Row],[Females (%)]]</f>
        <v>80.975999999999999</v>
      </c>
      <c r="AE78" s="21">
        <f>Tabela46[[#This Row],[Total of samples (N)  ]]*AC78</f>
        <v>87.024000000000001</v>
      </c>
      <c r="AF78" s="56">
        <v>168</v>
      </c>
      <c r="AG78" s="5" t="s">
        <v>16</v>
      </c>
      <c r="AH78" s="5" t="s">
        <v>16</v>
      </c>
      <c r="AI78" s="5" t="s">
        <v>16</v>
      </c>
      <c r="AJ78" s="5">
        <v>168</v>
      </c>
      <c r="AK78" s="5" t="s">
        <v>16</v>
      </c>
      <c r="AL78" s="5" t="s">
        <v>16</v>
      </c>
      <c r="AM78" s="5" t="s">
        <v>16</v>
      </c>
      <c r="AN78" s="56">
        <v>168</v>
      </c>
      <c r="AO78" s="13" t="s">
        <v>16</v>
      </c>
      <c r="AP78" s="13" t="s">
        <v>16</v>
      </c>
      <c r="AQ78" s="13" t="s">
        <v>16</v>
      </c>
      <c r="AR78" s="21" t="s">
        <v>16</v>
      </c>
      <c r="AS78" s="21" t="s">
        <v>16</v>
      </c>
      <c r="AT78" s="21" t="s">
        <v>16</v>
      </c>
      <c r="AU78" s="57" t="s">
        <v>16</v>
      </c>
      <c r="AV78" s="74" t="s">
        <v>478</v>
      </c>
      <c r="AW78" s="9" t="s">
        <v>479</v>
      </c>
      <c r="AX78" s="9" t="s">
        <v>20</v>
      </c>
      <c r="AY78" s="9" t="s">
        <v>20</v>
      </c>
      <c r="AZ78" s="60" t="s">
        <v>16</v>
      </c>
      <c r="BA78" s="10" t="s">
        <v>16</v>
      </c>
      <c r="BB78" s="10" t="s">
        <v>16</v>
      </c>
      <c r="BC78" s="10" t="s">
        <v>16</v>
      </c>
      <c r="BD78" s="10" t="s">
        <v>16</v>
      </c>
      <c r="BE78" s="10" t="s">
        <v>16</v>
      </c>
      <c r="BF78" s="10" t="s">
        <v>16</v>
      </c>
      <c r="BG78" s="21" t="s">
        <v>16</v>
      </c>
      <c r="BH78" s="21" t="s">
        <v>16</v>
      </c>
      <c r="BI78" s="21" t="s">
        <v>16</v>
      </c>
      <c r="BJ78" s="21" t="s">
        <v>16</v>
      </c>
      <c r="BK78" s="21" t="s">
        <v>16</v>
      </c>
      <c r="BL78" s="21" t="s">
        <v>16</v>
      </c>
      <c r="BM78" s="21" t="s">
        <v>16</v>
      </c>
      <c r="BN78" s="57" t="s">
        <v>16</v>
      </c>
      <c r="BO78" s="69" t="s">
        <v>20</v>
      </c>
    </row>
    <row r="79" spans="1:67" x14ac:dyDescent="0.25">
      <c r="A79" s="66" t="s">
        <v>334</v>
      </c>
      <c r="B79" s="75" t="s">
        <v>387</v>
      </c>
      <c r="C79" s="78">
        <v>16201</v>
      </c>
      <c r="D79" s="66" t="s">
        <v>16</v>
      </c>
      <c r="E79" s="79">
        <v>0.39300000000000002</v>
      </c>
      <c r="F79" s="80">
        <v>0.47299999999999998</v>
      </c>
      <c r="G79" s="80">
        <v>3.0000000000000001E-3</v>
      </c>
      <c r="H79" s="80">
        <v>0.13</v>
      </c>
      <c r="I79" s="80" t="s">
        <v>16</v>
      </c>
      <c r="J79" s="80" t="s">
        <v>16</v>
      </c>
      <c r="K79" s="80" t="s">
        <v>16</v>
      </c>
      <c r="L79" s="80" t="s">
        <v>16</v>
      </c>
      <c r="M79" s="80" t="s">
        <v>16</v>
      </c>
      <c r="N79" s="80" t="s">
        <v>16</v>
      </c>
      <c r="O79" s="80" t="s">
        <v>16</v>
      </c>
      <c r="P79" s="80" t="s">
        <v>16</v>
      </c>
      <c r="Q79" s="80" t="s">
        <v>16</v>
      </c>
      <c r="R79" s="80" t="s">
        <v>16</v>
      </c>
      <c r="S79" s="80" t="s">
        <v>16</v>
      </c>
      <c r="T79" s="80" t="s">
        <v>16</v>
      </c>
      <c r="U79" s="80" t="s">
        <v>16</v>
      </c>
      <c r="V79" s="80" t="s">
        <v>16</v>
      </c>
      <c r="W79" s="80" t="s">
        <v>16</v>
      </c>
      <c r="X79" s="80" t="s">
        <v>16</v>
      </c>
      <c r="Y79" s="80" t="s">
        <v>16</v>
      </c>
      <c r="Z79" s="80" t="s">
        <v>16</v>
      </c>
      <c r="AA79" s="81">
        <v>16201</v>
      </c>
      <c r="AB79" s="79" t="s">
        <v>16</v>
      </c>
      <c r="AC79" s="80" t="s">
        <v>16</v>
      </c>
      <c r="AD79" s="82" t="s">
        <v>16</v>
      </c>
      <c r="AE79" s="82" t="s">
        <v>16</v>
      </c>
      <c r="AF79" s="83" t="s">
        <v>16</v>
      </c>
      <c r="AG79" s="84" t="s">
        <v>16</v>
      </c>
      <c r="AH79" s="84" t="s">
        <v>16</v>
      </c>
      <c r="AI79" s="84" t="s">
        <v>16</v>
      </c>
      <c r="AJ79" s="84" t="s">
        <v>16</v>
      </c>
      <c r="AK79" s="84" t="s">
        <v>16</v>
      </c>
      <c r="AL79" s="84" t="s">
        <v>16</v>
      </c>
      <c r="AM79" s="84" t="s">
        <v>16</v>
      </c>
      <c r="AN79" s="83" t="s">
        <v>16</v>
      </c>
      <c r="AO79" s="80" t="s">
        <v>16</v>
      </c>
      <c r="AP79" s="80" t="s">
        <v>16</v>
      </c>
      <c r="AQ79" s="80" t="s">
        <v>16</v>
      </c>
      <c r="AR79" s="82" t="s">
        <v>16</v>
      </c>
      <c r="AS79" s="82" t="s">
        <v>16</v>
      </c>
      <c r="AT79" s="82" t="s">
        <v>16</v>
      </c>
      <c r="AU79" s="83" t="s">
        <v>16</v>
      </c>
      <c r="AV79" s="76" t="s">
        <v>52</v>
      </c>
      <c r="AW79" s="77" t="s">
        <v>388</v>
      </c>
      <c r="AX79" s="85" t="s">
        <v>16</v>
      </c>
      <c r="AY79" s="85" t="s">
        <v>16</v>
      </c>
      <c r="AZ79" s="86" t="s">
        <v>16</v>
      </c>
      <c r="BA79" s="84" t="s">
        <v>16</v>
      </c>
      <c r="BB79" s="84" t="s">
        <v>16</v>
      </c>
      <c r="BC79" s="84" t="s">
        <v>16</v>
      </c>
      <c r="BD79" s="84" t="s">
        <v>16</v>
      </c>
      <c r="BE79" s="84" t="s">
        <v>16</v>
      </c>
      <c r="BF79" s="84" t="s">
        <v>16</v>
      </c>
      <c r="BG79" s="82" t="s">
        <v>16</v>
      </c>
      <c r="BH79" s="82" t="s">
        <v>16</v>
      </c>
      <c r="BI79" s="82" t="s">
        <v>16</v>
      </c>
      <c r="BJ79" s="82" t="s">
        <v>16</v>
      </c>
      <c r="BK79" s="82" t="s">
        <v>16</v>
      </c>
      <c r="BL79" s="82" t="s">
        <v>16</v>
      </c>
      <c r="BM79" s="82" t="s">
        <v>16</v>
      </c>
      <c r="BN79" s="83" t="s">
        <v>16</v>
      </c>
      <c r="BO79" s="87" t="s">
        <v>253</v>
      </c>
    </row>
    <row r="80" spans="1:67" x14ac:dyDescent="0.25">
      <c r="A80" s="9" t="s">
        <v>448</v>
      </c>
    </row>
    <row r="82" spans="1:48" x14ac:dyDescent="0.25">
      <c r="Y82" s="50"/>
    </row>
    <row r="83" spans="1:48" x14ac:dyDescent="0.25">
      <c r="Y83" s="50"/>
    </row>
    <row r="84" spans="1:48" x14ac:dyDescent="0.25">
      <c r="A84" s="41" t="s">
        <v>1069</v>
      </c>
      <c r="Y84" s="50"/>
    </row>
    <row r="85" spans="1:48" x14ac:dyDescent="0.25">
      <c r="A85" s="169" t="s">
        <v>1052</v>
      </c>
      <c r="B85" s="169"/>
      <c r="C85" s="169"/>
      <c r="D85" s="169"/>
      <c r="E85" s="169"/>
      <c r="F85" s="169"/>
      <c r="G85" s="169"/>
      <c r="H85" s="169"/>
      <c r="I85" s="169"/>
      <c r="J85" s="169"/>
      <c r="K85" s="169"/>
      <c r="L85" s="169"/>
      <c r="M85" s="169"/>
      <c r="N85" s="169"/>
      <c r="O85" s="169"/>
      <c r="P85" s="169"/>
      <c r="Q85" s="169"/>
      <c r="R85" s="169"/>
      <c r="S85" s="169"/>
      <c r="T85" s="169"/>
      <c r="U85" s="169"/>
      <c r="V85" s="169"/>
      <c r="W85" s="169"/>
      <c r="Y85" s="50"/>
    </row>
    <row r="86" spans="1:48" x14ac:dyDescent="0.25">
      <c r="A86"/>
      <c r="Y86" s="50"/>
      <c r="AA86" s="50"/>
    </row>
    <row r="87" spans="1:48" x14ac:dyDescent="0.25">
      <c r="A87" s="126" t="s">
        <v>189</v>
      </c>
      <c r="B87" s="127"/>
      <c r="C87" s="127"/>
      <c r="D87" s="128" t="s">
        <v>188</v>
      </c>
      <c r="E87" s="129"/>
      <c r="F87" s="129"/>
      <c r="G87" s="129"/>
      <c r="H87" s="129"/>
      <c r="I87" s="129"/>
      <c r="J87" s="129"/>
      <c r="K87" s="130"/>
      <c r="L87" s="131" t="s">
        <v>191</v>
      </c>
      <c r="M87" s="132"/>
      <c r="N87" s="132"/>
      <c r="O87" s="132"/>
      <c r="P87" s="133" t="s">
        <v>6</v>
      </c>
      <c r="Q87" s="133"/>
      <c r="R87" s="133"/>
      <c r="S87" s="133"/>
      <c r="T87" s="133"/>
      <c r="U87" s="133"/>
      <c r="V87" s="133"/>
      <c r="W87" s="133"/>
      <c r="X87" s="95"/>
      <c r="Y87" s="95"/>
      <c r="Z87" s="95"/>
      <c r="AA87" s="95"/>
      <c r="AB87" s="95"/>
      <c r="AC87" s="95"/>
      <c r="AD87" s="95"/>
      <c r="AE87" s="95"/>
      <c r="AJ87" s="31"/>
      <c r="AN87" s="31"/>
      <c r="AV87" s="31"/>
    </row>
    <row r="88" spans="1:48" x14ac:dyDescent="0.25">
      <c r="A88" s="88" t="s">
        <v>1042</v>
      </c>
      <c r="B88" s="88" t="s">
        <v>1043</v>
      </c>
      <c r="C88" s="89" t="s">
        <v>1039</v>
      </c>
      <c r="D88" s="90" t="s">
        <v>183</v>
      </c>
      <c r="E88" s="90" t="s">
        <v>184</v>
      </c>
      <c r="F88" s="90" t="s">
        <v>185</v>
      </c>
      <c r="G88" s="90" t="s">
        <v>186</v>
      </c>
      <c r="H88" s="91" t="s">
        <v>187</v>
      </c>
      <c r="I88" s="90" t="s">
        <v>359</v>
      </c>
      <c r="J88" s="90" t="s">
        <v>20</v>
      </c>
      <c r="K88" s="92" t="s">
        <v>1038</v>
      </c>
      <c r="L88" s="93" t="s">
        <v>1034</v>
      </c>
      <c r="M88" s="93" t="s">
        <v>1035</v>
      </c>
      <c r="N88" s="93" t="s">
        <v>1020</v>
      </c>
      <c r="O88" s="94" t="s">
        <v>1037</v>
      </c>
      <c r="P88" s="53" t="s">
        <v>195</v>
      </c>
      <c r="Q88" s="53" t="s">
        <v>196</v>
      </c>
      <c r="R88" s="53" t="s">
        <v>197</v>
      </c>
      <c r="S88" s="53" t="s">
        <v>254</v>
      </c>
      <c r="T88" s="53" t="s">
        <v>255</v>
      </c>
      <c r="U88" s="53" t="s">
        <v>256</v>
      </c>
      <c r="V88" s="53" t="s">
        <v>360</v>
      </c>
      <c r="W88" s="53" t="s">
        <v>361</v>
      </c>
    </row>
    <row r="89" spans="1:48" x14ac:dyDescent="0.25">
      <c r="A89" s="51">
        <f>SUM(Tabela46[Females (N)])</f>
        <v>87216.487999999983</v>
      </c>
      <c r="B89" s="46">
        <f>SUM(Tabela46[Males (N)])</f>
        <v>60836.650000000016</v>
      </c>
      <c r="C89" s="46">
        <f>SUM(Tabela49[[#This Row],[Females (N)]:[Males (N)]])</f>
        <v>148053.13800000001</v>
      </c>
      <c r="D89" s="48">
        <f>SUM(Tabela46[American Indian/Alaska Native])</f>
        <v>255</v>
      </c>
      <c r="E89" s="48">
        <f>SUM(Tabela46[Asian])</f>
        <v>7257</v>
      </c>
      <c r="F89" s="48">
        <f>SUM(Tabela46[Black or African American])</f>
        <v>17791</v>
      </c>
      <c r="G89" s="48">
        <f>SUM(Tabela46[White])</f>
        <v>90630</v>
      </c>
      <c r="H89" s="48">
        <f>SUM(Tabela46[Native Hawaiian or Other Pacific Islander])</f>
        <v>23</v>
      </c>
      <c r="I89" s="48">
        <f>SUM(Tabela46[[Other ]])</f>
        <v>12200</v>
      </c>
      <c r="J89" s="48">
        <f>SUM(Tabela46[NA])</f>
        <v>6092</v>
      </c>
      <c r="K89" s="49">
        <f>SUM(Tabela49[[#This Row],[American Indian/Alaska Native]:[NA]])</f>
        <v>134248</v>
      </c>
      <c r="L89" s="52">
        <f>SUM(Tabela46[Hispanic or Latino (N)])</f>
        <v>21802.815000000006</v>
      </c>
      <c r="M89" s="52">
        <f>SUM(Tabela46[Not Hispanic or Latino (N)])</f>
        <v>99525.124000000011</v>
      </c>
      <c r="N89" s="52">
        <f>SUM(Tabela46[NA (N)])</f>
        <v>8259.003999999999</v>
      </c>
      <c r="O89" s="52">
        <f>SUM(Tabela49[[#This Row],[Hispanic or Latino (N)]:[NA (N)]])</f>
        <v>129586.94300000001</v>
      </c>
      <c r="P89" s="47">
        <f>SUM(Tabela46[22 (N)])</f>
        <v>685.04599999999994</v>
      </c>
      <c r="Q89" s="47">
        <f>SUM(Tabela46[23 (N)])</f>
        <v>13485.444000000001</v>
      </c>
      <c r="R89" s="47">
        <f>SUM(Tabela46[24 (N)])</f>
        <v>3365.2369999999992</v>
      </c>
      <c r="S89" s="47">
        <f>SUM(Tabela46[33 (N)])</f>
        <v>72215.900000000009</v>
      </c>
      <c r="T89" s="47">
        <f>SUM(Tabela46[34 (N)])</f>
        <v>41657.685000000005</v>
      </c>
      <c r="U89" s="47">
        <f>SUM(Tabela46[44 (N)])</f>
        <v>7425.963999999999</v>
      </c>
      <c r="V89" s="47">
        <f>SUM(Tabela46[NA (N)2])</f>
        <v>8145.7919999999995</v>
      </c>
      <c r="W89" s="47">
        <f>SUM(Tabela49[[#This Row],[22]:[NA  ]])</f>
        <v>146981.068</v>
      </c>
    </row>
    <row r="90" spans="1:48" x14ac:dyDescent="0.25">
      <c r="A90" s="119" t="s">
        <v>1053</v>
      </c>
      <c r="Y90" s="50"/>
      <c r="AA90" s="50"/>
    </row>
    <row r="91" spans="1:48" x14ac:dyDescent="0.25">
      <c r="Y91" s="50"/>
      <c r="AA91" s="50"/>
    </row>
    <row r="92" spans="1:48" x14ac:dyDescent="0.25">
      <c r="Y92" s="50"/>
      <c r="AA92" s="50"/>
    </row>
    <row r="93" spans="1:48" x14ac:dyDescent="0.25">
      <c r="Y93" s="50"/>
      <c r="AA93" s="50"/>
    </row>
  </sheetData>
  <mergeCells count="24">
    <mergeCell ref="BG6:BN6"/>
    <mergeCell ref="A3:BO3"/>
    <mergeCell ref="A85:W85"/>
    <mergeCell ref="E5:AA6"/>
    <mergeCell ref="AB5:AF5"/>
    <mergeCell ref="AB6:AC6"/>
    <mergeCell ref="AD6:AF6"/>
    <mergeCell ref="AG5:AN5"/>
    <mergeCell ref="AG6:AN6"/>
    <mergeCell ref="AO6:AQ6"/>
    <mergeCell ref="AR6:AU6"/>
    <mergeCell ref="AO5:AU5"/>
    <mergeCell ref="AZ6:BF6"/>
    <mergeCell ref="AX5:AY6"/>
    <mergeCell ref="BO5:BO6"/>
    <mergeCell ref="A87:C87"/>
    <mergeCell ref="D87:K87"/>
    <mergeCell ref="L87:O87"/>
    <mergeCell ref="P87:W87"/>
    <mergeCell ref="A5:B6"/>
    <mergeCell ref="AV5:AW6"/>
    <mergeCell ref="C6:D6"/>
    <mergeCell ref="C5:D5"/>
    <mergeCell ref="AZ5:BN5"/>
  </mergeCells>
  <phoneticPr fontId="4" type="noConversion"/>
  <hyperlinks>
    <hyperlink ref="B8" r:id="rId1" xr:uid="{B8A1EC8A-D33B-405B-A7C7-E6CC9C3DC2F8}"/>
    <hyperlink ref="B11" r:id="rId2" xr:uid="{E0D810A3-7B28-4D2C-A35D-92FA4E2EC306}"/>
    <hyperlink ref="B61" r:id="rId3" xr:uid="{3C202DFB-E6FB-4234-B28C-6A833780C0D0}"/>
    <hyperlink ref="B79" r:id="rId4" xr:uid="{8919CB03-A0C2-4051-BD11-CA00C31C28D4}"/>
    <hyperlink ref="B19" r:id="rId5" xr:uid="{ED2696C9-1F5D-411D-9AFD-BDA9220D4763}"/>
    <hyperlink ref="B42" r:id="rId6" xr:uid="{E99B7037-08C5-4172-8BBD-D83796EFC8E9}"/>
    <hyperlink ref="B17" r:id="rId7" xr:uid="{96C4F587-AECD-4155-8AC7-6BA0DA94D3EE}"/>
    <hyperlink ref="B18" r:id="rId8" xr:uid="{FDB1DC55-9561-4CE6-9FE8-D6FB83F1D233}"/>
    <hyperlink ref="B66" r:id="rId9" xr:uid="{ED409ACB-16E5-4E6B-8D22-87DCD67D733F}"/>
    <hyperlink ref="B36" r:id="rId10" xr:uid="{DDD3A239-43EF-4605-9150-C0EA296CC285}"/>
    <hyperlink ref="B9" r:id="rId11" xr:uid="{5DF6F62A-3133-4DC0-8054-642359F4F1BE}"/>
    <hyperlink ref="B38" r:id="rId12" xr:uid="{F5DF3F99-0C2B-4397-826E-1625DB4D4254}"/>
    <hyperlink ref="B64" r:id="rId13" xr:uid="{D3FA0BCE-989D-4C81-AB16-B218C3664465}"/>
    <hyperlink ref="B71" r:id="rId14" xr:uid="{12C1C845-3C2A-4588-8473-32C898CC20D2}"/>
    <hyperlink ref="B14" r:id="rId15" xr:uid="{C4590943-32DF-4E68-954A-D9E446F02D28}"/>
    <hyperlink ref="B27" r:id="rId16" xr:uid="{FABE0147-2449-46AA-B54B-D683C8892837}"/>
    <hyperlink ref="B67" r:id="rId17" xr:uid="{FD0C5362-D534-4207-816A-6CA73D66C542}"/>
    <hyperlink ref="B22" r:id="rId18" xr:uid="{4B4EC7B8-DFBA-462B-B321-72FEE4B90D2B}"/>
    <hyperlink ref="B23" r:id="rId19" xr:uid="{8DC39E69-5B2B-4AA2-B43E-E5AB493429A6}"/>
    <hyperlink ref="B24" r:id="rId20" xr:uid="{00E0D61F-AB96-4DEB-B3B9-842199B11E0D}"/>
    <hyperlink ref="B12" r:id="rId21" xr:uid="{7E1C789F-0045-42F3-87D8-037343AC81CC}"/>
    <hyperlink ref="B13" r:id="rId22" xr:uid="{7B4AA87E-CDCE-44D0-BC1C-A6F09EF54060}"/>
    <hyperlink ref="B25" r:id="rId23" xr:uid="{8D58830E-41D0-4B09-BFCA-ED1922D274B8}"/>
    <hyperlink ref="B48" r:id="rId24" xr:uid="{2F91E231-9141-4B0E-B999-D4D7C28FCB2B}"/>
    <hyperlink ref="B72" r:id="rId25" xr:uid="{329A1127-7936-4153-9BE2-A7B4820A9B7A}"/>
    <hyperlink ref="B74" r:id="rId26" xr:uid="{1013335F-08A0-40AD-A8F8-A9B0FA946EC6}"/>
    <hyperlink ref="B35" r:id="rId27" xr:uid="{0DDBF518-16DA-438F-A313-8028D2FB059E}"/>
    <hyperlink ref="B29" r:id="rId28" xr:uid="{D426036B-DD19-4D4A-ADC6-2BEF30FD6D8A}"/>
    <hyperlink ref="B62" r:id="rId29" xr:uid="{5D925146-7EF8-47CB-87EA-FBE8C0C29735}"/>
    <hyperlink ref="B15" r:id="rId30" xr:uid="{3C838EBF-EC0C-4850-8E75-819E2F9588E1}"/>
    <hyperlink ref="B73" r:id="rId31" xr:uid="{5C78128C-EF83-4BAA-B1EE-431B655565D0}"/>
    <hyperlink ref="B21" r:id="rId32" xr:uid="{6948BE90-4F41-437D-942E-D60C06EC6A38}"/>
    <hyperlink ref="B30" r:id="rId33" xr:uid="{FFE93433-D2F7-4EBE-B7AF-A607A85FD066}"/>
    <hyperlink ref="B76" r:id="rId34" xr:uid="{24A0D9AB-7097-458C-8ED4-EFADA2B0EAEC}"/>
    <hyperlink ref="B45" r:id="rId35" xr:uid="{1E28BC8A-2801-4FE9-B68B-DC705C0D70BB}"/>
    <hyperlink ref="B37" r:id="rId36" xr:uid="{1A04696B-DB36-4D5F-8756-182C79BAB11A}"/>
    <hyperlink ref="B65" r:id="rId37" xr:uid="{8D460E60-A6D4-40C0-82A2-0D445D0F6971}"/>
    <hyperlink ref="B33" r:id="rId38" xr:uid="{A52BA5BB-A80C-4BBF-8D58-80438732C645}"/>
    <hyperlink ref="B34" r:id="rId39" xr:uid="{129A02FF-D07A-4A5E-8D98-2E085ED5226F}"/>
    <hyperlink ref="B41" r:id="rId40" xr:uid="{FFB0A0C4-68F2-4602-84BB-AD6075491BDD}"/>
    <hyperlink ref="B44" r:id="rId41" xr:uid="{8C7C6740-0FE7-49E0-ADF4-1E1FC1ECEE14}"/>
    <hyperlink ref="B10" r:id="rId42" xr:uid="{EC02F916-FB94-4159-8E1D-57F5DA39C9B6}"/>
    <hyperlink ref="B16" r:id="rId43" xr:uid="{31FAD2A5-0843-4D38-B489-15779C7F0300}"/>
    <hyperlink ref="B26" r:id="rId44" xr:uid="{D9B04ED7-370B-4200-9DDB-F67B78FE96F9}"/>
    <hyperlink ref="B28" r:id="rId45" xr:uid="{F5638EDA-5085-4740-AAA2-AEDCE4E1C43C}"/>
    <hyperlink ref="B31" r:id="rId46" xr:uid="{E6E8B4A0-A681-4E28-9741-9894778171C7}"/>
    <hyperlink ref="B32" r:id="rId47" xr:uid="{BB7B9F6E-A282-460E-AE14-564E43E3AA30}"/>
    <hyperlink ref="B39" r:id="rId48" xr:uid="{8EA389AE-22CA-4C77-8F1C-D94A2D90E9E1}"/>
    <hyperlink ref="B40" r:id="rId49" xr:uid="{B731A8AA-A4E6-40EE-AEDE-E4E59A01F869}"/>
    <hyperlink ref="B43" r:id="rId50" xr:uid="{AC5A2648-E7D9-4F8F-A5C3-0D368287E3B1}"/>
    <hyperlink ref="B63" r:id="rId51" xr:uid="{30EA8C26-E7B9-4084-AA75-603905F4CFD1}"/>
    <hyperlink ref="B68" r:id="rId52" xr:uid="{6136D89A-49B8-4C18-AB24-C38FC1F5B9BC}"/>
    <hyperlink ref="B69" r:id="rId53" xr:uid="{725285CC-D32F-44BB-AA21-AF1FD7DE13FA}"/>
    <hyperlink ref="B70" r:id="rId54" xr:uid="{683DF6E9-B4B8-4E69-8F13-CA90CE02AA62}"/>
    <hyperlink ref="B75" r:id="rId55" xr:uid="{4DDD58F5-747E-4C3D-B506-E11F549AE25D}"/>
    <hyperlink ref="B77" r:id="rId56" xr:uid="{246E4D90-E859-4F0B-A2B3-5F4CC5B1C690}"/>
    <hyperlink ref="B78" r:id="rId57" xr:uid="{1C5D8ACB-1129-4735-848C-F1D31EF2AF06}"/>
    <hyperlink ref="B20" r:id="rId58" xr:uid="{1FEBADE7-8E57-4B62-AB18-3B7A7FDD8FE6}"/>
    <hyperlink ref="B46" r:id="rId59" xr:uid="{3E0A8D27-E806-4827-A412-2FA0F2E5A981}"/>
    <hyperlink ref="B47" r:id="rId60" xr:uid="{0D248541-9C67-4272-8856-B7FDE00124B1}"/>
    <hyperlink ref="B49" r:id="rId61" xr:uid="{5EA9894E-5952-4F9F-806B-B7C215086F56}"/>
    <hyperlink ref="B50" r:id="rId62" xr:uid="{285F4783-92D8-4F63-B916-755F7FA9389B}"/>
    <hyperlink ref="B51" r:id="rId63" xr:uid="{BAD7A03F-33FF-484E-B088-113BE4D25518}"/>
    <hyperlink ref="B52" r:id="rId64" xr:uid="{72DC1F6B-45B6-4AC8-9B2F-AD0A1619095F}"/>
    <hyperlink ref="B53" r:id="rId65" xr:uid="{F38D7834-6863-466A-94FE-28AA458EFBF6}"/>
    <hyperlink ref="B54" r:id="rId66" xr:uid="{2E80503C-62B7-4684-96BD-345659C215C7}"/>
    <hyperlink ref="B55" r:id="rId67" xr:uid="{E7488A20-5ED3-4D43-ABE1-AD9B832C70DF}"/>
    <hyperlink ref="B56" r:id="rId68" xr:uid="{392B6771-9D95-45CA-BBF8-59C23A4E24E3}"/>
    <hyperlink ref="B57" r:id="rId69" xr:uid="{F816639F-337E-4A85-9A1C-8F72BA24A20D}"/>
    <hyperlink ref="B58" r:id="rId70" xr:uid="{118239CB-F0B2-45C4-AA29-ED33DC45BD4E}"/>
    <hyperlink ref="B59" r:id="rId71" xr:uid="{A5452B1A-99C9-4B4C-B165-764B403ADAD5}"/>
    <hyperlink ref="B60" r:id="rId72" xr:uid="{C51A7A94-FD1D-4E95-BA6C-61B3AE15EA0F}"/>
  </hyperlinks>
  <pageMargins left="0.7" right="0.7" top="0.75" bottom="0.75" header="0.3" footer="0.3"/>
  <ignoredErrors>
    <ignoredError sqref="BG13" calculatedColumn="1"/>
  </ignoredErrors>
  <tableParts count="2">
    <tablePart r:id="rId73"/>
    <tablePart r:id="rId7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6</vt:i4>
      </vt:variant>
    </vt:vector>
  </HeadingPairs>
  <TitlesOfParts>
    <vt:vector size="6" baseType="lpstr">
      <vt:lpstr>GWAS overview</vt:lpstr>
      <vt:lpstr>Databases characterisation</vt:lpstr>
      <vt:lpstr>Study-dataset map</vt:lpstr>
      <vt:lpstr>NIAGADS datasets</vt:lpstr>
      <vt:lpstr>Study-sampleset map</vt:lpstr>
      <vt:lpstr>NIAGADS sample 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Leonor Soares Carvalho</dc:creator>
  <cp:lastModifiedBy>Maria Leonor Soares Carvalho</cp:lastModifiedBy>
  <dcterms:created xsi:type="dcterms:W3CDTF">2026-03-20T13:56:40Z</dcterms:created>
  <dcterms:modified xsi:type="dcterms:W3CDTF">2026-06-02T15:25:19Z</dcterms:modified>
</cp:coreProperties>
</file>